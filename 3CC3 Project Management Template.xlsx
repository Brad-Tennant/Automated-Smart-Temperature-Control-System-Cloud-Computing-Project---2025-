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bradl\Downloads\"/>
    </mc:Choice>
  </mc:AlternateContent>
  <xr:revisionPtr revIDLastSave="0" documentId="8_{656C575D-6176-41C6-B6C5-27EC8F0FF5D6}" xr6:coauthVersionLast="47" xr6:coauthVersionMax="47" xr10:uidLastSave="{00000000-0000-0000-0000-000000000000}"/>
  <bookViews>
    <workbookView xWindow="-21720" yWindow="1920" windowWidth="21840" windowHeight="13020" tabRatio="810" xr2:uid="{00000000-000D-0000-FFFF-FFFF00000000}"/>
  </bookViews>
  <sheets>
    <sheet name="GANTT Template" sheetId="11" r:id="rId1"/>
    <sheet name="TASK BREAKDOWN Template" sheetId="14" r:id="rId2"/>
    <sheet name="EVENT LOG Template" sheetId="15" r:id="rId3"/>
    <sheet name="DAILY STANDUPS Template" sheetId="16" r:id="rId4"/>
    <sheet name="LESSONS LEARNED Template" sheetId="17" r:id="rId5"/>
  </sheets>
  <definedNames>
    <definedName name="Display_Week">'GANTT Template'!$Q$2</definedName>
    <definedName name="_xlnm.Print_Titles" localSheetId="0">'GANTT Template'!$4:$6</definedName>
    <definedName name="Project_Start">'GANTT Template'!$Q$1</definedName>
    <definedName name="task_end" localSheetId="0">'GANTT Template'!$F1</definedName>
    <definedName name="task_progress" localSheetId="0">'GANTT Template'!$D1</definedName>
    <definedName name="task_start" localSheetId="0">'GANTT Template'!$E1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11" l="1"/>
  <c r="F10" i="11"/>
  <c r="E9" i="11"/>
  <c r="H7" i="11"/>
  <c r="I5" i="11" l="1"/>
  <c r="H23" i="11"/>
  <c r="H22" i="11"/>
  <c r="H19" i="11"/>
  <c r="H14" i="11"/>
  <c r="H11" i="11"/>
  <c r="H8" i="11"/>
  <c r="H9" i="11" l="1"/>
  <c r="I6" i="11"/>
  <c r="H15" i="11" l="1"/>
  <c r="H16" i="11"/>
  <c r="H10" i="11"/>
  <c r="H12" i="11"/>
  <c r="J5" i="11"/>
  <c r="K5" i="11" s="1"/>
  <c r="L5" i="11" s="1"/>
  <c r="M5" i="11" s="1"/>
  <c r="N5" i="11" s="1"/>
  <c r="O5" i="11" s="1"/>
  <c r="P5" i="11" s="1"/>
  <c r="I4" i="11"/>
  <c r="H20" i="11" l="1"/>
  <c r="H17" i="11"/>
  <c r="H21" i="11"/>
  <c r="H18" i="11"/>
  <c r="H13" i="11"/>
  <c r="P4" i="1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Bradley Tennant</author>
  </authors>
  <commentList>
    <comment ref="A10" authorId="0" shapeId="0" xr:uid="{57A90A38-40A0-43EE-B5EC-785780199798}">
      <text>
        <r>
          <rPr>
            <sz val="11"/>
            <color theme="1"/>
            <rFont val="Arial"/>
            <family val="2"/>
            <scheme val="minor"/>
          </rPr>
          <t xml:space="preserve">Bradley Tennant:
</t>
        </r>
      </text>
    </comment>
  </commentList>
</comments>
</file>

<file path=xl/sharedStrings.xml><?xml version="1.0" encoding="utf-8"?>
<sst xmlns="http://schemas.openxmlformats.org/spreadsheetml/2006/main" count="237" uniqueCount="170">
  <si>
    <t>START</t>
  </si>
  <si>
    <t>Smart Temperature Control System</t>
  </si>
  <si>
    <t>Project start:</t>
  </si>
  <si>
    <t>Student 1</t>
  </si>
  <si>
    <t>Brad Tennant (400407276)</t>
  </si>
  <si>
    <t>Display week:</t>
  </si>
  <si>
    <t>Student 2</t>
  </si>
  <si>
    <t>Sam Rosales (400399496)</t>
  </si>
  <si>
    <t>TASK</t>
  </si>
  <si>
    <t>ASSIGNED TO</t>
  </si>
  <si>
    <t>PROGRESS</t>
  </si>
  <si>
    <t>END</t>
  </si>
  <si>
    <t xml:space="preserve">Do not delete this row. This row is hidden to preserve a formula that is used to highlight the current day within the project schedule. </t>
  </si>
  <si>
    <t>Initiation</t>
  </si>
  <si>
    <t xml:space="preserve">Confirm System Idea &amp; Requirements </t>
  </si>
  <si>
    <t>Both</t>
  </si>
  <si>
    <t>Hardware Wiring (DHT11 + L293D + Fan)</t>
  </si>
  <si>
    <t>Sam</t>
  </si>
  <si>
    <t>Planning and design</t>
  </si>
  <si>
    <t>Define Temperature Threshold &amp; Control Logic</t>
  </si>
  <si>
    <t>Arduino Code Framework</t>
  </si>
  <si>
    <t>Execution</t>
  </si>
  <si>
    <t>Implement Automatic + Manual  Fan Control Logic</t>
  </si>
  <si>
    <t>Develop Local LabVIEW HMI</t>
  </si>
  <si>
    <t>Configure Ubidots Dashboard + Cloud Control</t>
  </si>
  <si>
    <t>Brad</t>
  </si>
  <si>
    <t>Setup Email Alert Trigger</t>
  </si>
  <si>
    <t>Evaluation</t>
  </si>
  <si>
    <t>System Testing + Threshold Tuning</t>
  </si>
  <si>
    <t>Prepare Demo + Record Final Video</t>
  </si>
  <si>
    <t>Insert new rows ABOVE this one</t>
  </si>
  <si>
    <t>STAGE</t>
  </si>
  <si>
    <t>MILESTONES</t>
  </si>
  <si>
    <t>TASKS</t>
  </si>
  <si>
    <t>OWNER</t>
  </si>
  <si>
    <t>TIME ALLOTTED</t>
  </si>
  <si>
    <t>ACTUAL TIME</t>
  </si>
  <si>
    <t xml:space="preserve">Initition </t>
  </si>
  <si>
    <t>Confirm project idea &amp; scope</t>
  </si>
  <si>
    <t>Discuss system purpose, confirm sensor/actuator choice</t>
  </si>
  <si>
    <t>1 day</t>
  </si>
  <si>
    <t>Hardware setup</t>
  </si>
  <si>
    <t>Wire DHT11 and Fan control circuit with L293D driver</t>
  </si>
  <si>
    <t>2 days</t>
  </si>
  <si>
    <t>Planning &amp; Design</t>
  </si>
  <si>
    <t>Define control logic</t>
  </si>
  <si>
    <t>Determine temperature trigger threshold &amp; control modes (Auto/Manual)</t>
  </si>
  <si>
    <t>Arduino code structure</t>
  </si>
  <si>
    <t>Create code loop for reading sensor &amp; fan control</t>
  </si>
  <si>
    <t>3 days</t>
  </si>
  <si>
    <t>Implement automatic fan control</t>
  </si>
  <si>
    <t>Upload and test Arduino control logic (sensor and fan operation)</t>
  </si>
  <si>
    <t>Create Local LabVIEW HMI</t>
  </si>
  <si>
    <t>Communicate temperature, humidity, and fan status to Ubidots for manual cloud control</t>
  </si>
  <si>
    <t>4 days</t>
  </si>
  <si>
    <t>Create Ubidots web dashboard</t>
  </si>
  <si>
    <t>Upload variables, create widgets, enable remote fan control</t>
  </si>
  <si>
    <t>Enable email alert</t>
  </si>
  <si>
    <t>Configure temperature threshold trigger alert in Ubidots</t>
  </si>
  <si>
    <t>Testing &amp; Evaluation</t>
  </si>
  <si>
    <t>System testing &amp; tuning</t>
  </si>
  <si>
    <t>Adjust setpoint, test auto/manual switching, reliability check</t>
  </si>
  <si>
    <t>Final demo + video</t>
  </si>
  <si>
    <t>Record demonstration and finalize submission</t>
  </si>
  <si>
    <t>EVENT</t>
  </si>
  <si>
    <t>CATEGORY</t>
  </si>
  <si>
    <t>FOCAL POINTS</t>
  </si>
  <si>
    <t>OUTCOME</t>
  </si>
  <si>
    <t>Project Idea Approved By Instructor</t>
  </si>
  <si>
    <t>Planning</t>
  </si>
  <si>
    <t>Confirmed use of DHT11 sensor and fan for temperature control</t>
  </si>
  <si>
    <t>Proceeded to detailed design stage</t>
  </si>
  <si>
    <t>Hardware Wiring Completed</t>
  </si>
  <si>
    <t>Development</t>
  </si>
  <si>
    <t>Connecting and programming DHT11, driver, and DC motor for auto temperature regulation</t>
  </si>
  <si>
    <t>Verified correct sensor output and fan switching</t>
  </si>
  <si>
    <t>LabVIEW HMI Created</t>
  </si>
  <si>
    <t>Interfacing</t>
  </si>
  <si>
    <t>Built local interface for monitoring and manual control</t>
  </si>
  <si>
    <t>Displayed temperature, humidity, and fan status successfully</t>
  </si>
  <si>
    <t>Cloud Dashboard Configured</t>
  </si>
  <si>
    <t>Linked Arduino-connected LabVIEW HMI to Ubidots API and created dashboard widgets</t>
  </si>
  <si>
    <t>Successfully uploaded live data for remote monitoring</t>
  </si>
  <si>
    <t>Design Mock LabView Block Diagram</t>
  </si>
  <si>
    <t>Planning design for LabVIEW VISA fucntions for two-way cloud communication to optimize development time in lab</t>
  </si>
  <si>
    <t>Designed rough working of LabVIEW diagram before lab</t>
  </si>
  <si>
    <t>Finalizing System Circuit</t>
  </si>
  <si>
    <t>Adding an additonal LCD display and Swapping push button for toggle switch</t>
  </si>
  <si>
    <t>Improved system usability and clarity by providing display and more reliable manual input, reducing dependence on the laptop during testing and demo</t>
  </si>
  <si>
    <t xml:space="preserve">Construct System's External Shell </t>
  </si>
  <si>
    <t>Built a lightweight cardboard enclosure to organize wiring, mount the DHT11, and improve airflow for the fan</t>
  </si>
  <si>
    <t>Created a cleaner and more stable setup that helped present the system better during the video and demo</t>
  </si>
  <si>
    <t>Email Alert Trigger Configured</t>
  </si>
  <si>
    <t>Added temperature and humidity trigger rule in Ubidots to send automated alert when max temperature and low humidity is exceeded</t>
  </si>
  <si>
    <t>Verified alert received with correct temperature, humidity and system status</t>
  </si>
  <si>
    <t>Full System Integration Test</t>
  </si>
  <si>
    <t>Testing</t>
  </si>
  <si>
    <t>Tested Arduino, LabVIEW HMI, Ubidots dashboard, and fan actuator together</t>
  </si>
  <si>
    <t>Verified all components communicate correctly end to end</t>
  </si>
  <si>
    <t>Demo Day Performance Issues</t>
  </si>
  <si>
    <t>LabVIEW updates lagged and fan activation was inconsistent due to instability</t>
  </si>
  <si>
    <t>System required manual resets, learned to stabilize power and simplify demo setup</t>
  </si>
  <si>
    <t>Project Submission Completed</t>
  </si>
  <si>
    <t>Delivery</t>
  </si>
  <si>
    <t>Submitted video, code, wiring diagram, and LabVIEW VI</t>
  </si>
  <si>
    <t>Project completed on time and delivered with all required components</t>
  </si>
  <si>
    <t>DATE</t>
  </si>
  <si>
    <t>WORK DONE YESTERDAY</t>
  </si>
  <si>
    <t>WORK TO BE DONE TODAY</t>
  </si>
  <si>
    <t>ON TRACK? (Y/N)</t>
  </si>
  <si>
    <t>N/A</t>
  </si>
  <si>
    <t>Finalize idea and meet with partner to confirm system requirements</t>
  </si>
  <si>
    <t>Y</t>
  </si>
  <si>
    <t>Project idea confirmed, components selected</t>
  </si>
  <si>
    <t>Begin wiring DHT11 sensor and test readings on Arduino</t>
  </si>
  <si>
    <t>DHT11 wired and serial output verified</t>
  </si>
  <si>
    <t>Wire MOSFET fan driver and test fan switching</t>
  </si>
  <si>
    <t>Fan circuit completed and operating</t>
  </si>
  <si>
    <t>Implement Arduino temperature threshold logic</t>
  </si>
  <si>
    <t>Automatic fan control logic written and tested</t>
  </si>
  <si>
    <t>Start building LabVIEW local HMI</t>
  </si>
  <si>
    <t>LabVIEW UI layout created</t>
  </si>
  <si>
    <t>Add manual fan control buttons and display indicators</t>
  </si>
  <si>
    <t>Local HMI functional with manual override</t>
  </si>
  <si>
    <t>Begin Ubidots integration (send temperature + humidity)</t>
  </si>
  <si>
    <t>Ubidots connection established, data uploading correctly</t>
  </si>
  <si>
    <t>Build cloud dashboard widgets</t>
  </si>
  <si>
    <t>Dashboard created with temperature, humidity, and fan state</t>
  </si>
  <si>
    <t>Implement cloud-based remote control of fan</t>
  </si>
  <si>
    <t>N</t>
  </si>
  <si>
    <t>Established two-way monitoring and control with Ubidots and system</t>
  </si>
  <si>
    <t>19-Nov_25</t>
  </si>
  <si>
    <t>Code and wiring for addition of LCD screen as humidty and temperature display</t>
  </si>
  <si>
    <t>20-Nov_25</t>
  </si>
  <si>
    <t xml:space="preserve">Construct The System's External Shell </t>
  </si>
  <si>
    <t>Film Video Presntation</t>
  </si>
  <si>
    <t>Create external shell for system and film video demostration of system operation</t>
  </si>
  <si>
    <t>Prepare Summary Project Summary Report</t>
  </si>
  <si>
    <t>WHAT WENT WELL</t>
  </si>
  <si>
    <t>WHAT WENT LESS WELL</t>
  </si>
  <si>
    <t>HOW COULD WE DO BETTER?</t>
  </si>
  <si>
    <t>LESSONS LEARNED</t>
  </si>
  <si>
    <t>Hardware wiring and sensor setup worked correctly on the first attempt</t>
  </si>
  <si>
    <t>Driver power pin (Vcc2) current causing very low holding torque, motor require manual push to start</t>
  </si>
  <si>
    <t>Verify all connections and power sources are functioning as expected</t>
  </si>
  <si>
    <t xml:space="preserve">Troubleshoot and check variable by variable for any pssoible faults/failures across the entire system, including testing different outlets for DC power supply </t>
  </si>
  <si>
    <t>Arduino code for automatic and hardwired manual temperature control functioned with minimal debugging</t>
  </si>
  <si>
    <t xml:space="preserve">DC motor able to turn on when detected temperature reached threshold, but would produce ON/OFF oscillatory response </t>
  </si>
  <si>
    <t>Plan for a wide range of possible system states/behviours and then isolate the desired behavior of the output from other mode's conditons</t>
  </si>
  <si>
    <t>Small parameter changes can greatly improve system stability and eliminate undesirable oscillatory response by completely isolating mode conditons from each other</t>
  </si>
  <si>
    <t>LabView HMI created using VISA resources to communicate to and from serial monitor and buffer of Arduino IDE</t>
  </si>
  <si>
    <t>Was unable to read from arduino to labview as the data in the array kept shifting (not enough bytes were provided)</t>
  </si>
  <si>
    <t>Research the visa resources more and have a better understanding of the labview software</t>
  </si>
  <si>
    <t>Number of bytes transferred from arduino to labview is very important as labview will only pick up the number of bytes it's told to recieve in the byte count node of VISA read</t>
  </si>
  <si>
    <t>LabVIEW was able to successfully send sensor data and fan status to Ubidots during some of the testing period.</t>
  </si>
  <si>
    <t>Ubidots occasionally failed to update incoming values, even though LabVIEW indicated that the data was being transmitted. This caused some dashboard widgets to freeze or skip readings.</t>
  </si>
  <si>
    <t>Implement a more reliable timing strategy for cloud updates, reduce the number of variables being written simultaneously, and add basic error checking to confirm that Ubidots has acknowledged the incoming data.</t>
  </si>
  <si>
    <t>Cloud dashboards may show inconsistent behavior if update intervals are too short or if internet/USB throughput fluctuates. Ensuring stable timing, adding verification steps, and monitoring API responses are essential for dependable cloud communication.</t>
  </si>
  <si>
    <t>Successfully created a simple external shell for the system that improved the presentation and organized wiring</t>
  </si>
  <si>
    <t>Shell assembly took longer than expected due to sizing adjustments for airflow and wiring access</t>
  </si>
  <si>
    <t>Create a draft model first to validate dimensions and peripherial postions before cutting and constructing final frame</t>
  </si>
  <si>
    <t>Prototyping enclosure designs early on saves time during the critical phases of project development, especially when sensors and wiring must remain accessible to external environement</t>
  </si>
  <si>
    <t>The final circuit was clean and stable, and adding an LCD display improved readability without needing LabVIEW active.</t>
  </si>
  <si>
    <t>Integrating the LCD late in the project introduced extra wiring complexity and required modifications to the already tested Arduino code.</t>
  </si>
  <si>
    <t>Plan all display/outputs earlier in the design phase instead of adding components near the end, even if the implementation is a "stretch goal".</t>
  </si>
  <si>
    <t>Adding features late in development increases risk, even if just considerations, and defining all possible of design upfront leads to greater overall modularity and smoother integration of new system elements.</t>
  </si>
  <si>
    <t>Core functionality of the system worked prior to the demo (sensor readings, fan control, HMI, cloud dashboard)</t>
  </si>
  <si>
    <t>During the demo, the fan did not activate consistently due to unstable power delivery and LabVIEW not updating values in time, causing delays and confusion</t>
  </si>
  <si>
    <t>Test the full system under demo like conditions ahead of time (same laptop, same power source, same USB ports). Add fallback indicators (simple LEDs) to confirm logic even if the HMI glitches</t>
  </si>
  <si>
    <t>Live demos require redundancy and environmental testing. A stable power source and simplified monitoring tools can prevent last minute performance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</si>
</sst>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_(* \(#,##0.00\);_(* &quot;-&quot;??_);_(@_)"/>
    <numFmt numFmtId="165" formatCode="m/d/yy;@"/>
    <numFmt numFmtId="166" formatCode="ddd\,\ m/d/yyyy"/>
    <numFmt numFmtId="167" formatCode="mmm\ d\,\ yyyy"/>
    <numFmt numFmtId="168" formatCode="d"/>
    <numFmt numFmtId="169" formatCode="[$-1009]d/mmm/yy;@"/>
  </numFmts>
  <fonts count="26"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b/>
      <sz val="20"/>
      <color theme="4" tint="-0.249977111117893"/>
      <name val="Arial"/>
      <family val="2"/>
    </font>
    <font>
      <sz val="11"/>
      <color theme="1"/>
      <name val="Arial"/>
      <family val="2"/>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1"/>
      <color theme="1"/>
      <name val="Arial"/>
      <family val="2"/>
      <scheme val="minor"/>
    </font>
    <font>
      <b/>
      <sz val="40"/>
      <name val="Arial Black"/>
      <family val="2"/>
      <scheme val="major"/>
    </font>
    <font>
      <b/>
      <sz val="16"/>
      <name val="Arial"/>
      <family val="2"/>
      <scheme val="minor"/>
    </font>
    <font>
      <sz val="16"/>
      <name val="Arial"/>
      <family val="2"/>
      <scheme val="minor"/>
    </font>
    <font>
      <b/>
      <sz val="16"/>
      <name val="Arial Black"/>
      <family val="2"/>
      <scheme val="major"/>
    </font>
    <font>
      <sz val="11"/>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4" tint="0.59999389629810485"/>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right/>
      <top style="thin">
        <color theme="9" tint="0.59996337778862885"/>
      </top>
      <bottom style="thin">
        <color theme="9" tint="0.59996337778862885"/>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9"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4">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9" fillId="0" borderId="0" xfId="3"/>
    <xf numFmtId="0" fontId="9" fillId="0" borderId="0" xfId="3" applyAlignment="1">
      <alignment wrapText="1"/>
    </xf>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1" fillId="0" borderId="0" xfId="0" applyFont="1"/>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2" fillId="0" borderId="0" xfId="0" applyFont="1"/>
    <xf numFmtId="0" fontId="12" fillId="0" borderId="0" xfId="0" applyFont="1" applyAlignment="1">
      <alignment horizontal="center"/>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8" fontId="15" fillId="9" borderId="18" xfId="0" applyNumberFormat="1" applyFont="1" applyFill="1" applyBorder="1" applyAlignment="1">
      <alignment horizontal="center" vertical="center"/>
    </xf>
    <xf numFmtId="168" fontId="15" fillId="9" borderId="16" xfId="0" applyNumberFormat="1" applyFont="1" applyFill="1" applyBorder="1" applyAlignment="1">
      <alignment horizontal="center" vertical="center"/>
    </xf>
    <xf numFmtId="168" fontId="15" fillId="9" borderId="17" xfId="0" applyNumberFormat="1" applyFont="1" applyFill="1" applyBorder="1" applyAlignment="1">
      <alignment horizontal="center" vertical="center"/>
    </xf>
    <xf numFmtId="0" fontId="16" fillId="2" borderId="15" xfId="0" applyFont="1" applyFill="1" applyBorder="1" applyAlignment="1">
      <alignment horizontal="center" vertical="center" shrinkToFit="1"/>
    </xf>
    <xf numFmtId="0" fontId="16" fillId="2" borderId="12" xfId="0" applyFont="1" applyFill="1" applyBorder="1" applyAlignment="1">
      <alignment horizontal="center" vertical="center" shrinkToFit="1"/>
    </xf>
    <xf numFmtId="0" fontId="16" fillId="2" borderId="13" xfId="0" applyFont="1" applyFill="1" applyBorder="1" applyAlignment="1">
      <alignment horizontal="center" vertical="center" shrinkToFit="1"/>
    </xf>
    <xf numFmtId="0" fontId="13" fillId="0" borderId="0" xfId="0" applyFont="1"/>
    <xf numFmtId="0" fontId="13" fillId="0" borderId="0" xfId="0" applyFont="1" applyAlignment="1">
      <alignment wrapText="1"/>
    </xf>
    <xf numFmtId="0" fontId="4" fillId="0" borderId="3" xfId="0" applyFont="1" applyBorder="1" applyAlignment="1">
      <alignment vertical="center"/>
    </xf>
    <xf numFmtId="0" fontId="4" fillId="0" borderId="10" xfId="0" applyFont="1" applyBorder="1" applyAlignment="1">
      <alignment vertical="center"/>
    </xf>
    <xf numFmtId="0" fontId="4" fillId="0" borderId="0" xfId="0" applyFont="1" applyAlignment="1">
      <alignment vertical="center"/>
    </xf>
    <xf numFmtId="0" fontId="4" fillId="0" borderId="4" xfId="0" applyFont="1" applyBorder="1" applyAlignment="1">
      <alignment vertical="center"/>
    </xf>
    <xf numFmtId="0" fontId="13" fillId="3" borderId="5" xfId="12" applyFont="1" applyFill="1" applyBorder="1">
      <alignment horizontal="left" vertical="center" indent="2"/>
    </xf>
    <xf numFmtId="9" fontId="1" fillId="3" borderId="5" xfId="2" applyFont="1" applyFill="1" applyBorder="1" applyAlignment="1">
      <alignment horizontal="center" vertical="center"/>
    </xf>
    <xf numFmtId="165" fontId="13" fillId="3" borderId="5" xfId="10" applyFont="1" applyFill="1" applyBorder="1">
      <alignment horizontal="center" vertical="center"/>
    </xf>
    <xf numFmtId="0" fontId="4" fillId="0" borderId="4" xfId="0" applyFont="1" applyBorder="1" applyAlignment="1">
      <alignment horizontal="right" vertical="center"/>
    </xf>
    <xf numFmtId="0" fontId="17" fillId="5" borderId="0" xfId="0" applyFont="1" applyFill="1" applyAlignment="1">
      <alignment horizontal="left" vertical="center" indent="1"/>
    </xf>
    <xf numFmtId="9" fontId="1" fillId="5" borderId="0" xfId="2" applyFont="1" applyFill="1" applyBorder="1" applyAlignment="1">
      <alignment horizontal="center" vertical="center"/>
    </xf>
    <xf numFmtId="165" fontId="13" fillId="5" borderId="0" xfId="0" applyNumberFormat="1" applyFont="1" applyFill="1" applyAlignment="1">
      <alignment horizontal="center" vertical="center"/>
    </xf>
    <xf numFmtId="165" fontId="1" fillId="5" borderId="0" xfId="0" applyNumberFormat="1" applyFont="1" applyFill="1" applyAlignment="1">
      <alignment horizontal="center" vertical="center"/>
    </xf>
    <xf numFmtId="0" fontId="4" fillId="0" borderId="9" xfId="0" applyFont="1" applyBorder="1" applyAlignment="1">
      <alignment vertical="center"/>
    </xf>
    <xf numFmtId="0" fontId="13" fillId="4" borderId="6" xfId="12" applyFont="1" applyFill="1" applyBorder="1">
      <alignment horizontal="left" vertical="center" indent="2"/>
    </xf>
    <xf numFmtId="9" fontId="1" fillId="4" borderId="6" xfId="2" applyFont="1" applyFill="1" applyBorder="1" applyAlignment="1">
      <alignment horizontal="center" vertical="center"/>
    </xf>
    <xf numFmtId="165" fontId="13" fillId="4" borderId="6" xfId="10" applyFont="1" applyFill="1" applyBorder="1">
      <alignment horizontal="center" vertical="center"/>
    </xf>
    <xf numFmtId="0" fontId="17" fillId="6" borderId="0" xfId="0" applyFont="1" applyFill="1" applyAlignment="1">
      <alignment horizontal="left" vertical="center" indent="1"/>
    </xf>
    <xf numFmtId="9" fontId="1" fillId="6" borderId="0" xfId="2" applyFont="1" applyFill="1" applyBorder="1" applyAlignment="1">
      <alignment horizontal="center" vertical="center"/>
    </xf>
    <xf numFmtId="165" fontId="13"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8" xfId="0" applyFont="1" applyBorder="1" applyAlignment="1">
      <alignment vertical="center"/>
    </xf>
    <xf numFmtId="0" fontId="13" fillId="7" borderId="7" xfId="12" applyFont="1" applyFill="1" applyBorder="1">
      <alignment horizontal="left" vertical="center" indent="2"/>
    </xf>
    <xf numFmtId="9" fontId="1" fillId="7" borderId="7" xfId="2" applyFont="1" applyFill="1" applyBorder="1" applyAlignment="1">
      <alignment horizontal="center" vertical="center"/>
    </xf>
    <xf numFmtId="165" fontId="13" fillId="7" borderId="7" xfId="10" applyFont="1" applyFill="1" applyBorder="1">
      <alignment horizontal="center" vertical="center"/>
    </xf>
    <xf numFmtId="0" fontId="13" fillId="0" borderId="0" xfId="12" applyFont="1" applyBorder="1">
      <alignment horizontal="left" vertical="center" indent="2"/>
    </xf>
    <xf numFmtId="0" fontId="13" fillId="0" borderId="0" xfId="11" applyFont="1" applyBorder="1" applyAlignment="1">
      <alignment vertical="center"/>
    </xf>
    <xf numFmtId="9" fontId="1" fillId="0" borderId="0" xfId="2" applyFont="1" applyBorder="1" applyAlignment="1">
      <alignment horizontal="center" vertical="center"/>
    </xf>
    <xf numFmtId="165" fontId="13" fillId="0" borderId="0" xfId="10" applyFont="1" applyBorder="1">
      <alignment horizontal="center" vertical="center"/>
    </xf>
    <xf numFmtId="0" fontId="18" fillId="2" borderId="0" xfId="0" applyFont="1" applyFill="1" applyAlignment="1">
      <alignment horizontal="left" vertical="center" indent="1"/>
    </xf>
    <xf numFmtId="0" fontId="18" fillId="2" borderId="0" xfId="0" applyFont="1" applyFill="1" applyAlignment="1">
      <alignment vertical="center"/>
    </xf>
    <xf numFmtId="9" fontId="1" fillId="2" borderId="0" xfId="2" applyFont="1" applyFill="1" applyBorder="1" applyAlignment="1">
      <alignment horizontal="center" vertical="center"/>
    </xf>
    <xf numFmtId="165" fontId="19"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3" fillId="0" borderId="0" xfId="0" applyFont="1"/>
    <xf numFmtId="0" fontId="23" fillId="0" borderId="0" xfId="0" applyFont="1"/>
    <xf numFmtId="0" fontId="17" fillId="10" borderId="0" xfId="0" applyFont="1" applyFill="1" applyAlignment="1">
      <alignment horizontal="left" vertical="center" indent="1"/>
    </xf>
    <xf numFmtId="0" fontId="13" fillId="10" borderId="0" xfId="11" applyFont="1" applyFill="1" applyBorder="1" applyAlignment="1">
      <alignment vertical="center"/>
    </xf>
    <xf numFmtId="9" fontId="1" fillId="10" borderId="0" xfId="2" applyFont="1" applyFill="1" applyBorder="1" applyAlignment="1">
      <alignment horizontal="center" vertical="center"/>
    </xf>
    <xf numFmtId="165" fontId="13" fillId="10" borderId="0" xfId="0" applyNumberFormat="1" applyFont="1" applyFill="1" applyAlignment="1">
      <alignment horizontal="center" vertical="center"/>
    </xf>
    <xf numFmtId="165" fontId="1" fillId="10" borderId="0" xfId="0" applyNumberFormat="1" applyFont="1" applyFill="1" applyAlignment="1">
      <alignment horizontal="center" vertical="center"/>
    </xf>
    <xf numFmtId="0" fontId="17" fillId="12" borderId="0" xfId="0" applyFont="1" applyFill="1" applyAlignment="1">
      <alignment horizontal="left" vertical="center" indent="1"/>
    </xf>
    <xf numFmtId="9" fontId="1" fillId="12" borderId="0" xfId="2" applyFont="1" applyFill="1" applyBorder="1" applyAlignment="1">
      <alignment horizontal="center" vertical="center"/>
    </xf>
    <xf numFmtId="165" fontId="13" fillId="12" borderId="0" xfId="0" applyNumberFormat="1" applyFont="1" applyFill="1" applyAlignment="1">
      <alignment horizontal="center" vertical="center"/>
    </xf>
    <xf numFmtId="165" fontId="1" fillId="12" borderId="0" xfId="0" applyNumberFormat="1" applyFont="1" applyFill="1" applyAlignment="1">
      <alignment horizontal="center" vertical="center"/>
    </xf>
    <xf numFmtId="0" fontId="13" fillId="11" borderId="0" xfId="12" applyFont="1" applyFill="1" applyBorder="1">
      <alignment horizontal="left" vertical="center" indent="2"/>
    </xf>
    <xf numFmtId="9" fontId="1" fillId="11" borderId="0" xfId="2" applyFont="1" applyFill="1" applyBorder="1" applyAlignment="1">
      <alignment horizontal="center" vertical="center"/>
    </xf>
    <xf numFmtId="165" fontId="13" fillId="11" borderId="0" xfId="10" applyFont="1" applyFill="1" applyBorder="1">
      <alignment horizontal="center" vertical="center"/>
    </xf>
    <xf numFmtId="0" fontId="13" fillId="11" borderId="20" xfId="12" applyFont="1" applyFill="1" applyBorder="1">
      <alignment horizontal="left" vertical="center" indent="2"/>
    </xf>
    <xf numFmtId="9" fontId="1" fillId="11" borderId="20" xfId="2" applyFont="1" applyFill="1" applyBorder="1" applyAlignment="1">
      <alignment horizontal="center" vertical="center"/>
    </xf>
    <xf numFmtId="165" fontId="13" fillId="11" borderId="20" xfId="10" applyFont="1" applyFill="1" applyBorder="1">
      <alignment horizontal="center" vertical="center"/>
    </xf>
    <xf numFmtId="15" fontId="0" fillId="0" borderId="0" xfId="0" applyNumberFormat="1"/>
    <xf numFmtId="0" fontId="0" fillId="0" borderId="0" xfId="0" applyAlignment="1">
      <alignment wrapText="1"/>
    </xf>
    <xf numFmtId="0" fontId="13" fillId="11" borderId="0" xfId="11" applyFont="1" applyFill="1" applyBorder="1">
      <alignment horizontal="center" vertical="center"/>
    </xf>
    <xf numFmtId="0" fontId="13" fillId="11" borderId="20" xfId="11" applyFont="1" applyFill="1" applyBorder="1">
      <alignment horizontal="center" vertical="center"/>
    </xf>
    <xf numFmtId="0" fontId="13" fillId="12" borderId="0" xfId="11" applyFont="1" applyFill="1" applyBorder="1">
      <alignment horizontal="center" vertical="center"/>
    </xf>
    <xf numFmtId="0" fontId="13" fillId="3" borderId="5" xfId="11" applyFont="1" applyFill="1" applyBorder="1">
      <alignment horizontal="center" vertical="center"/>
    </xf>
    <xf numFmtId="0" fontId="13" fillId="5" borderId="0" xfId="11" applyFont="1" applyFill="1" applyBorder="1">
      <alignment horizontal="center" vertical="center"/>
    </xf>
    <xf numFmtId="0" fontId="13" fillId="4" borderId="6" xfId="11" applyFont="1" applyFill="1" applyBorder="1">
      <alignment horizontal="center" vertical="center"/>
    </xf>
    <xf numFmtId="0" fontId="13" fillId="6" borderId="0" xfId="11" applyFont="1" applyFill="1" applyBorder="1">
      <alignment horizontal="center" vertical="center"/>
    </xf>
    <xf numFmtId="0" fontId="13" fillId="7" borderId="7" xfId="11" applyFont="1" applyFill="1" applyBorder="1">
      <alignment horizontal="center" vertical="center"/>
    </xf>
    <xf numFmtId="0" fontId="21" fillId="0" borderId="0" xfId="5" applyFont="1" applyAlignment="1">
      <alignment horizontal="left" wrapText="1"/>
    </xf>
    <xf numFmtId="15" fontId="0" fillId="0" borderId="0" xfId="0" applyNumberFormat="1" applyAlignment="1">
      <alignment horizontal="right"/>
    </xf>
    <xf numFmtId="0" fontId="0" fillId="0" borderId="0" xfId="0" applyAlignment="1">
      <alignment vertical="center" wrapText="1"/>
    </xf>
    <xf numFmtId="0" fontId="20" fillId="0" borderId="0" xfId="0" applyFont="1" applyAlignment="1">
      <alignment horizontal="center" vertical="center" wrapText="1"/>
    </xf>
    <xf numFmtId="0" fontId="9" fillId="0" borderId="0" xfId="3" applyAlignment="1">
      <alignment wrapText="1"/>
    </xf>
    <xf numFmtId="0" fontId="14" fillId="8" borderId="14" xfId="0" applyFont="1" applyFill="1" applyBorder="1" applyAlignment="1">
      <alignment horizontal="left" vertical="center" indent="1"/>
    </xf>
    <xf numFmtId="0" fontId="4" fillId="2" borderId="19" xfId="0" applyFont="1" applyFill="1" applyBorder="1" applyAlignment="1">
      <alignment horizontal="left" indent="1"/>
    </xf>
    <xf numFmtId="0" fontId="14" fillId="8" borderId="14" xfId="0" applyFont="1" applyFill="1" applyBorder="1" applyAlignment="1">
      <alignment vertical="center"/>
    </xf>
    <xf numFmtId="0" fontId="4" fillId="2" borderId="19" xfId="0" applyFont="1" applyFill="1" applyBorder="1"/>
    <xf numFmtId="0" fontId="14" fillId="8" borderId="14" xfId="0" applyFont="1" applyFill="1" applyBorder="1" applyAlignment="1">
      <alignment horizontal="center" vertical="center"/>
    </xf>
    <xf numFmtId="0" fontId="24" fillId="0" borderId="0" xfId="0" applyFont="1" applyAlignment="1">
      <alignment horizontal="left"/>
    </xf>
    <xf numFmtId="0" fontId="25" fillId="0" borderId="0" xfId="0" applyFont="1"/>
    <xf numFmtId="169" fontId="24" fillId="0" borderId="0" xfId="9" applyNumberFormat="1" applyFont="1" applyBorder="1" applyAlignment="1">
      <alignment horizontal="left"/>
    </xf>
    <xf numFmtId="169" fontId="25" fillId="0" borderId="0" xfId="0" applyNumberFormat="1" applyFont="1"/>
    <xf numFmtId="0" fontId="22" fillId="0" borderId="0" xfId="8" applyFont="1" applyAlignment="1">
      <alignment horizontal="left"/>
    </xf>
    <xf numFmtId="0" fontId="3" fillId="0" borderId="0" xfId="0" applyFont="1"/>
    <xf numFmtId="167" fontId="13" fillId="2" borderId="11" xfId="0" applyNumberFormat="1" applyFont="1" applyFill="1" applyBorder="1" applyAlignment="1">
      <alignment horizontal="center" vertical="center" wrapText="1"/>
    </xf>
    <xf numFmtId="167" fontId="13" fillId="2" borderId="17" xfId="0" applyNumberFormat="1" applyFont="1" applyFill="1" applyBorder="1" applyAlignment="1">
      <alignment horizontal="center" vertical="center" wrapText="1"/>
    </xf>
    <xf numFmtId="167" fontId="13" fillId="2" borderId="16" xfId="0" applyNumberFormat="1" applyFont="1" applyFill="1" applyBorder="1" applyAlignment="1">
      <alignment horizontal="center" vertical="center" wrapText="1"/>
    </xf>
    <xf numFmtId="0" fontId="20" fillId="0" borderId="0" xfId="0" applyFont="1" applyAlignment="1">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dxf>
    <dxf>
      <fill>
        <patternFill>
          <bgColor theme="9" tint="0.39994506668294322"/>
        </patternFill>
      </fill>
      <border>
        <left/>
        <right/>
        <top style="thin">
          <color theme="0" tint="-4.9989318521683403E-2"/>
        </top>
        <bottom style="thin">
          <color theme="0" tint="-4.9989318521683403E-2"/>
        </bottom>
      </border>
    </dxf>
    <dxf>
      <fill>
        <patternFill>
          <bgColor theme="9"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3301C2E-A636-44A9-B818-ABAB35E16F5D}" name="Table3" displayName="Table3" ref="A2:F15" totalsRowShown="0">
  <autoFilter ref="A2:F15" xr:uid="{B3301C2E-A636-44A9-B818-ABAB35E16F5D}"/>
  <tableColumns count="6">
    <tableColumn id="1" xr3:uid="{99B75C0C-9B40-4BCD-A972-1B223B13BD27}" name="STAGE"/>
    <tableColumn id="2" xr3:uid="{348D6C8A-1FB1-4DEF-9BD0-52F2427E82B2}" name="MILESTONES"/>
    <tableColumn id="3" xr3:uid="{560F4768-918A-4C55-A80B-B9989A99D7C6}" name="TASKS"/>
    <tableColumn id="4" xr3:uid="{26D4840F-4CFE-492F-A7DA-BF54DB522FB8}" name="OWNER"/>
    <tableColumn id="5" xr3:uid="{468225EC-E14E-476C-93CD-85357F3C547A}" name="TIME ALLOTTED"/>
    <tableColumn id="6" xr3:uid="{C1CD60A8-E172-4249-AE42-F9621147ABC3}" name="ACTUAL TIME"/>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01D8AB3-EF6C-43F6-95D3-38E8439EA053}" name="Table4" displayName="Table4" ref="A1:D17" totalsRowShown="0">
  <autoFilter ref="A1:D17" xr:uid="{F01D8AB3-EF6C-43F6-95D3-38E8439EA053}"/>
  <tableColumns count="4">
    <tableColumn id="1" xr3:uid="{5F05898A-E2C0-4AE5-A413-7EA49CC8C6E2}" name="EVENT"/>
    <tableColumn id="2" xr3:uid="{7D6B898E-AE81-47FA-833B-6B36380A3A3F}" name="CATEGORY"/>
    <tableColumn id="3" xr3:uid="{2BB2FEE3-80C4-4742-A0EB-5AB69495CFB3}" name="FOCAL POINTS"/>
    <tableColumn id="4" xr3:uid="{E4E2D3D0-475F-43E1-A4B6-0CE46EDBBACD}" name="OUTCOME"/>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8AFD4C3-1460-4B73-AC12-CF860D48DE53}" name="Table5" displayName="Table5" ref="A1:D36" totalsRowShown="0">
  <autoFilter ref="A1:D36" xr:uid="{88AFD4C3-1460-4B73-AC12-CF860D48DE53}"/>
  <tableColumns count="4">
    <tableColumn id="1" xr3:uid="{A583F183-0C6C-4C39-83ED-61750C46EA5B}" name="DATE"/>
    <tableColumn id="2" xr3:uid="{B4AF03BF-C180-4092-A068-A0443A1E27A8}" name="WORK DONE YESTERDAY"/>
    <tableColumn id="3" xr3:uid="{4900CA1B-97B4-4F4B-8ABD-6ED55C475AF1}" name="WORK TO BE DONE TODAY"/>
    <tableColumn id="4" xr3:uid="{E6C68B36-786B-41D3-88BA-F03F86789099}" name="ON TRACK? (Y/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FBD643B-6BA1-4EBD-9EE4-C93ACDA71384}" name="Table6" displayName="Table6" ref="A1:D9" totalsRowShown="0">
  <autoFilter ref="A1:D9" xr:uid="{3FBD643B-6BA1-4EBD-9EE4-C93ACDA71384}"/>
  <tableColumns count="4">
    <tableColumn id="1" xr3:uid="{712AD254-DDB4-4FB4-9AF4-F645964252EA}" name="WHAT WENT WELL"/>
    <tableColumn id="2" xr3:uid="{C2A84E12-9BC7-4194-9393-EB8BE066C7C5}" name="WHAT WENT LESS WELL"/>
    <tableColumn id="3" xr3:uid="{0F7EE9A8-7C5D-411F-8A35-B556A69516AA}" name="HOW COULD WE DO BETTER?"/>
    <tableColumn id="4" xr3:uid="{6C3FC4C4-9846-49E1-85C2-75B528914376}" name="LESSONS LEARNED"/>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4.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26"/>
  <sheetViews>
    <sheetView showGridLines="0" tabSelected="1" showRuler="0" zoomScale="92" zoomScaleNormal="90" zoomScalePageLayoutView="70" workbookViewId="0">
      <selection activeCell="E17" sqref="E17"/>
    </sheetView>
  </sheetViews>
  <sheetFormatPr defaultColWidth="8.625" defaultRowHeight="30" customHeight="1" x14ac:dyDescent="0.2"/>
  <cols>
    <col min="1" max="1" width="2.625" style="7" customWidth="1"/>
    <col min="2" max="2" width="71.5" customWidth="1"/>
    <col min="3" max="3" width="26" customWidth="1"/>
    <col min="4" max="4" width="13.125" customWidth="1"/>
    <col min="5" max="5" width="10.625" style="2" customWidth="1"/>
    <col min="6" max="6" width="18.375" customWidth="1"/>
    <col min="7" max="7" width="2.625" customWidth="1"/>
    <col min="8" max="8" width="6" hidden="1" customWidth="1"/>
    <col min="9" max="64" width="6.875" customWidth="1"/>
    <col min="65" max="65" width="2.625" customWidth="1"/>
  </cols>
  <sheetData>
    <row r="1" spans="1:64" ht="194.1" customHeight="1" x14ac:dyDescent="1.1000000000000001">
      <c r="A1" s="8"/>
      <c r="B1" s="94" t="s">
        <v>1</v>
      </c>
      <c r="C1" s="12"/>
      <c r="D1" s="13"/>
      <c r="E1" s="14"/>
      <c r="F1" s="15"/>
      <c r="G1" s="67"/>
      <c r="H1" s="1"/>
      <c r="I1" s="108" t="s">
        <v>2</v>
      </c>
      <c r="J1" s="109"/>
      <c r="K1" s="109"/>
      <c r="L1" s="109"/>
      <c r="M1" s="109"/>
      <c r="N1" s="109"/>
      <c r="O1" s="109"/>
      <c r="P1" s="68"/>
      <c r="Q1" s="106">
        <v>45970</v>
      </c>
      <c r="R1" s="107"/>
      <c r="S1" s="107"/>
      <c r="T1" s="107"/>
      <c r="U1" s="107"/>
      <c r="V1" s="107"/>
      <c r="W1" s="107"/>
      <c r="X1" s="107"/>
      <c r="Y1" s="107"/>
      <c r="Z1" s="107"/>
    </row>
    <row r="2" spans="1:64" ht="30" customHeight="1" x14ac:dyDescent="0.5">
      <c r="B2" s="65" t="s">
        <v>3</v>
      </c>
      <c r="C2" s="66" t="s">
        <v>4</v>
      </c>
      <c r="D2" s="16"/>
      <c r="E2" s="17"/>
      <c r="F2" s="16"/>
      <c r="G2" s="67"/>
      <c r="H2" s="67"/>
      <c r="I2" s="108" t="s">
        <v>5</v>
      </c>
      <c r="J2" s="109"/>
      <c r="K2" s="109"/>
      <c r="L2" s="109"/>
      <c r="M2" s="109"/>
      <c r="N2" s="109"/>
      <c r="O2" s="109"/>
      <c r="P2" s="68"/>
      <c r="Q2" s="104">
        <v>1</v>
      </c>
      <c r="R2" s="105"/>
      <c r="S2" s="105"/>
      <c r="T2" s="105"/>
      <c r="U2" s="105"/>
      <c r="V2" s="105"/>
      <c r="W2" s="105"/>
      <c r="X2" s="105"/>
      <c r="Y2" s="105"/>
      <c r="Z2" s="105"/>
    </row>
    <row r="3" spans="1:64" s="18" customFormat="1" ht="30" customHeight="1" x14ac:dyDescent="0.2">
      <c r="A3" s="7"/>
      <c r="B3" s="65" t="s">
        <v>6</v>
      </c>
      <c r="C3" s="66" t="s">
        <v>7</v>
      </c>
      <c r="D3" s="19"/>
      <c r="E3" s="20"/>
    </row>
    <row r="4" spans="1:64" s="18" customFormat="1" ht="30" customHeight="1" x14ac:dyDescent="0.2">
      <c r="A4" s="8"/>
      <c r="B4" s="21"/>
      <c r="E4" s="22"/>
      <c r="I4" s="112">
        <f>I5</f>
        <v>45971</v>
      </c>
      <c r="J4" s="110"/>
      <c r="K4" s="110"/>
      <c r="L4" s="110"/>
      <c r="M4" s="110"/>
      <c r="N4" s="110"/>
      <c r="O4" s="110"/>
      <c r="P4" s="110">
        <f>P5</f>
        <v>45978</v>
      </c>
      <c r="Q4" s="110"/>
      <c r="R4" s="110"/>
      <c r="S4" s="110"/>
      <c r="T4" s="110"/>
      <c r="U4" s="110"/>
      <c r="V4" s="110"/>
      <c r="W4" s="110">
        <f>W5</f>
        <v>45985</v>
      </c>
      <c r="X4" s="110"/>
      <c r="Y4" s="110"/>
      <c r="Z4" s="110"/>
      <c r="AA4" s="110"/>
      <c r="AB4" s="110"/>
      <c r="AC4" s="110"/>
      <c r="AD4" s="110">
        <f>AD5</f>
        <v>45992</v>
      </c>
      <c r="AE4" s="110"/>
      <c r="AF4" s="110"/>
      <c r="AG4" s="110"/>
      <c r="AH4" s="110"/>
      <c r="AI4" s="110"/>
      <c r="AJ4" s="110"/>
      <c r="AK4" s="110">
        <f>AK5</f>
        <v>45999</v>
      </c>
      <c r="AL4" s="110"/>
      <c r="AM4" s="110"/>
      <c r="AN4" s="110"/>
      <c r="AO4" s="110"/>
      <c r="AP4" s="110"/>
      <c r="AQ4" s="110"/>
      <c r="AR4" s="110">
        <f>AR5</f>
        <v>46006</v>
      </c>
      <c r="AS4" s="110"/>
      <c r="AT4" s="110"/>
      <c r="AU4" s="110"/>
      <c r="AV4" s="110"/>
      <c r="AW4" s="110"/>
      <c r="AX4" s="110"/>
      <c r="AY4" s="110">
        <f>AY5</f>
        <v>46013</v>
      </c>
      <c r="AZ4" s="110"/>
      <c r="BA4" s="110"/>
      <c r="BB4" s="110"/>
      <c r="BC4" s="110"/>
      <c r="BD4" s="110"/>
      <c r="BE4" s="110"/>
      <c r="BF4" s="110">
        <f>BF5</f>
        <v>46020</v>
      </c>
      <c r="BG4" s="110"/>
      <c r="BH4" s="110"/>
      <c r="BI4" s="110"/>
      <c r="BJ4" s="110"/>
      <c r="BK4" s="110"/>
      <c r="BL4" s="111"/>
    </row>
    <row r="5" spans="1:64" s="18" customFormat="1" ht="15" customHeight="1" x14ac:dyDescent="0.2">
      <c r="A5" s="98"/>
      <c r="B5" s="99" t="s">
        <v>8</v>
      </c>
      <c r="C5" s="101" t="s">
        <v>9</v>
      </c>
      <c r="D5" s="103" t="s">
        <v>10</v>
      </c>
      <c r="E5" s="103" t="s">
        <v>0</v>
      </c>
      <c r="F5" s="103" t="s">
        <v>11</v>
      </c>
      <c r="I5" s="23">
        <f>Project_Start-WEEKDAY(Project_Start,1)+2+7*(Display_Week-1)</f>
        <v>45971</v>
      </c>
      <c r="J5" s="23">
        <f>I5+1</f>
        <v>45972</v>
      </c>
      <c r="K5" s="23">
        <f t="shared" ref="K5:AX5" si="0">J5+1</f>
        <v>45973</v>
      </c>
      <c r="L5" s="23">
        <f t="shared" si="0"/>
        <v>45974</v>
      </c>
      <c r="M5" s="23">
        <f t="shared" si="0"/>
        <v>45975</v>
      </c>
      <c r="N5" s="23">
        <f t="shared" si="0"/>
        <v>45976</v>
      </c>
      <c r="O5" s="24">
        <f t="shared" si="0"/>
        <v>45977</v>
      </c>
      <c r="P5" s="25">
        <f>O5+1</f>
        <v>45978</v>
      </c>
      <c r="Q5" s="23">
        <f>P5+1</f>
        <v>45979</v>
      </c>
      <c r="R5" s="23">
        <f t="shared" si="0"/>
        <v>45980</v>
      </c>
      <c r="S5" s="23">
        <f t="shared" si="0"/>
        <v>45981</v>
      </c>
      <c r="T5" s="23">
        <f t="shared" si="0"/>
        <v>45982</v>
      </c>
      <c r="U5" s="23">
        <f t="shared" si="0"/>
        <v>45983</v>
      </c>
      <c r="V5" s="24">
        <f t="shared" si="0"/>
        <v>45984</v>
      </c>
      <c r="W5" s="25">
        <f>V5+1</f>
        <v>45985</v>
      </c>
      <c r="X5" s="23">
        <f>W5+1</f>
        <v>45986</v>
      </c>
      <c r="Y5" s="23">
        <f t="shared" si="0"/>
        <v>45987</v>
      </c>
      <c r="Z5" s="23">
        <f t="shared" si="0"/>
        <v>45988</v>
      </c>
      <c r="AA5" s="23">
        <f t="shared" si="0"/>
        <v>45989</v>
      </c>
      <c r="AB5" s="23">
        <f t="shared" si="0"/>
        <v>45990</v>
      </c>
      <c r="AC5" s="24">
        <f t="shared" si="0"/>
        <v>45991</v>
      </c>
      <c r="AD5" s="25">
        <f>AC5+1</f>
        <v>45992</v>
      </c>
      <c r="AE5" s="23">
        <f>AD5+1</f>
        <v>45993</v>
      </c>
      <c r="AF5" s="23">
        <f t="shared" si="0"/>
        <v>45994</v>
      </c>
      <c r="AG5" s="23">
        <f t="shared" si="0"/>
        <v>45995</v>
      </c>
      <c r="AH5" s="23">
        <f t="shared" si="0"/>
        <v>45996</v>
      </c>
      <c r="AI5" s="23">
        <f t="shared" si="0"/>
        <v>45997</v>
      </c>
      <c r="AJ5" s="24">
        <f t="shared" si="0"/>
        <v>45998</v>
      </c>
      <c r="AK5" s="25">
        <f>AJ5+1</f>
        <v>45999</v>
      </c>
      <c r="AL5" s="23">
        <f>AK5+1</f>
        <v>46000</v>
      </c>
      <c r="AM5" s="23">
        <f t="shared" si="0"/>
        <v>46001</v>
      </c>
      <c r="AN5" s="23">
        <f t="shared" si="0"/>
        <v>46002</v>
      </c>
      <c r="AO5" s="23">
        <f t="shared" si="0"/>
        <v>46003</v>
      </c>
      <c r="AP5" s="23">
        <f t="shared" si="0"/>
        <v>46004</v>
      </c>
      <c r="AQ5" s="24">
        <f t="shared" si="0"/>
        <v>46005</v>
      </c>
      <c r="AR5" s="25">
        <f>AQ5+1</f>
        <v>46006</v>
      </c>
      <c r="AS5" s="23">
        <f>AR5+1</f>
        <v>46007</v>
      </c>
      <c r="AT5" s="23">
        <f t="shared" si="0"/>
        <v>46008</v>
      </c>
      <c r="AU5" s="23">
        <f t="shared" si="0"/>
        <v>46009</v>
      </c>
      <c r="AV5" s="23">
        <f t="shared" si="0"/>
        <v>46010</v>
      </c>
      <c r="AW5" s="23">
        <f t="shared" si="0"/>
        <v>46011</v>
      </c>
      <c r="AX5" s="24">
        <f t="shared" si="0"/>
        <v>46012</v>
      </c>
      <c r="AY5" s="25">
        <f>AX5+1</f>
        <v>46013</v>
      </c>
      <c r="AZ5" s="23">
        <f>AY5+1</f>
        <v>46014</v>
      </c>
      <c r="BA5" s="23">
        <f t="shared" ref="BA5:BE5" si="1">AZ5+1</f>
        <v>46015</v>
      </c>
      <c r="BB5" s="23">
        <f t="shared" si="1"/>
        <v>46016</v>
      </c>
      <c r="BC5" s="23">
        <f t="shared" si="1"/>
        <v>46017</v>
      </c>
      <c r="BD5" s="23">
        <f t="shared" si="1"/>
        <v>46018</v>
      </c>
      <c r="BE5" s="24">
        <f t="shared" si="1"/>
        <v>46019</v>
      </c>
      <c r="BF5" s="25">
        <f>BE5+1</f>
        <v>46020</v>
      </c>
      <c r="BG5" s="23">
        <f>BF5+1</f>
        <v>46021</v>
      </c>
      <c r="BH5" s="23">
        <f t="shared" ref="BH5:BL5" si="2">BG5+1</f>
        <v>46022</v>
      </c>
      <c r="BI5" s="23">
        <f t="shared" si="2"/>
        <v>46023</v>
      </c>
      <c r="BJ5" s="23">
        <f t="shared" si="2"/>
        <v>46024</v>
      </c>
      <c r="BK5" s="23">
        <f t="shared" si="2"/>
        <v>46025</v>
      </c>
      <c r="BL5" s="23">
        <f t="shared" si="2"/>
        <v>46026</v>
      </c>
    </row>
    <row r="6" spans="1:64" s="18" customFormat="1" ht="15" customHeight="1" thickBot="1" x14ac:dyDescent="0.25">
      <c r="A6" s="98"/>
      <c r="B6" s="100"/>
      <c r="C6" s="102"/>
      <c r="D6" s="102"/>
      <c r="E6" s="102"/>
      <c r="F6" s="102"/>
      <c r="I6" s="26" t="str">
        <f t="shared" ref="I6:AN6" si="3">LEFT(TEXT(I5,"ddd"),1)</f>
        <v>M</v>
      </c>
      <c r="J6" s="27" t="str">
        <f t="shared" si="3"/>
        <v>T</v>
      </c>
      <c r="K6" s="27" t="str">
        <f t="shared" si="3"/>
        <v>W</v>
      </c>
      <c r="L6" s="27" t="str">
        <f t="shared" si="3"/>
        <v>T</v>
      </c>
      <c r="M6" s="27" t="str">
        <f t="shared" si="3"/>
        <v>F</v>
      </c>
      <c r="N6" s="27" t="str">
        <f t="shared" si="3"/>
        <v>S</v>
      </c>
      <c r="O6" s="27" t="str">
        <f t="shared" si="3"/>
        <v>S</v>
      </c>
      <c r="P6" s="27" t="str">
        <f t="shared" si="3"/>
        <v>M</v>
      </c>
      <c r="Q6" s="27" t="str">
        <f t="shared" si="3"/>
        <v>T</v>
      </c>
      <c r="R6" s="27" t="str">
        <f t="shared" si="3"/>
        <v>W</v>
      </c>
      <c r="S6" s="27" t="str">
        <f t="shared" si="3"/>
        <v>T</v>
      </c>
      <c r="T6" s="27" t="str">
        <f t="shared" si="3"/>
        <v>F</v>
      </c>
      <c r="U6" s="27" t="str">
        <f t="shared" si="3"/>
        <v>S</v>
      </c>
      <c r="V6" s="27" t="str">
        <f t="shared" si="3"/>
        <v>S</v>
      </c>
      <c r="W6" s="27" t="str">
        <f t="shared" si="3"/>
        <v>M</v>
      </c>
      <c r="X6" s="27" t="str">
        <f t="shared" si="3"/>
        <v>T</v>
      </c>
      <c r="Y6" s="27" t="str">
        <f t="shared" si="3"/>
        <v>W</v>
      </c>
      <c r="Z6" s="27" t="str">
        <f t="shared" si="3"/>
        <v>T</v>
      </c>
      <c r="AA6" s="27" t="str">
        <f t="shared" si="3"/>
        <v>F</v>
      </c>
      <c r="AB6" s="27" t="str">
        <f t="shared" si="3"/>
        <v>S</v>
      </c>
      <c r="AC6" s="27" t="str">
        <f t="shared" si="3"/>
        <v>S</v>
      </c>
      <c r="AD6" s="27" t="str">
        <f t="shared" si="3"/>
        <v>M</v>
      </c>
      <c r="AE6" s="27" t="str">
        <f t="shared" si="3"/>
        <v>T</v>
      </c>
      <c r="AF6" s="27" t="str">
        <f t="shared" si="3"/>
        <v>W</v>
      </c>
      <c r="AG6" s="27" t="str">
        <f t="shared" si="3"/>
        <v>T</v>
      </c>
      <c r="AH6" s="27" t="str">
        <f t="shared" si="3"/>
        <v>F</v>
      </c>
      <c r="AI6" s="27" t="str">
        <f t="shared" si="3"/>
        <v>S</v>
      </c>
      <c r="AJ6" s="27" t="str">
        <f t="shared" si="3"/>
        <v>S</v>
      </c>
      <c r="AK6" s="27" t="str">
        <f t="shared" si="3"/>
        <v>M</v>
      </c>
      <c r="AL6" s="27" t="str">
        <f t="shared" si="3"/>
        <v>T</v>
      </c>
      <c r="AM6" s="27" t="str">
        <f t="shared" si="3"/>
        <v>W</v>
      </c>
      <c r="AN6" s="27" t="str">
        <f t="shared" si="3"/>
        <v>T</v>
      </c>
      <c r="AO6" s="27" t="str">
        <f t="shared" ref="AO6:BL6" si="4">LEFT(TEXT(AO5,"ddd"),1)</f>
        <v>F</v>
      </c>
      <c r="AP6" s="27" t="str">
        <f t="shared" si="4"/>
        <v>S</v>
      </c>
      <c r="AQ6" s="27" t="str">
        <f t="shared" si="4"/>
        <v>S</v>
      </c>
      <c r="AR6" s="27" t="str">
        <f t="shared" si="4"/>
        <v>M</v>
      </c>
      <c r="AS6" s="27" t="str">
        <f t="shared" si="4"/>
        <v>T</v>
      </c>
      <c r="AT6" s="27" t="str">
        <f t="shared" si="4"/>
        <v>W</v>
      </c>
      <c r="AU6" s="27" t="str">
        <f t="shared" si="4"/>
        <v>T</v>
      </c>
      <c r="AV6" s="27" t="str">
        <f t="shared" si="4"/>
        <v>F</v>
      </c>
      <c r="AW6" s="27" t="str">
        <f t="shared" si="4"/>
        <v>S</v>
      </c>
      <c r="AX6" s="27" t="str">
        <f t="shared" si="4"/>
        <v>S</v>
      </c>
      <c r="AY6" s="27" t="str">
        <f t="shared" si="4"/>
        <v>M</v>
      </c>
      <c r="AZ6" s="27" t="str">
        <f t="shared" si="4"/>
        <v>T</v>
      </c>
      <c r="BA6" s="27" t="str">
        <f t="shared" si="4"/>
        <v>W</v>
      </c>
      <c r="BB6" s="27" t="str">
        <f t="shared" si="4"/>
        <v>T</v>
      </c>
      <c r="BC6" s="27" t="str">
        <f t="shared" si="4"/>
        <v>F</v>
      </c>
      <c r="BD6" s="27" t="str">
        <f t="shared" si="4"/>
        <v>S</v>
      </c>
      <c r="BE6" s="27" t="str">
        <f t="shared" si="4"/>
        <v>S</v>
      </c>
      <c r="BF6" s="27" t="str">
        <f t="shared" si="4"/>
        <v>M</v>
      </c>
      <c r="BG6" s="27" t="str">
        <f t="shared" si="4"/>
        <v>T</v>
      </c>
      <c r="BH6" s="27" t="str">
        <f t="shared" si="4"/>
        <v>W</v>
      </c>
      <c r="BI6" s="27" t="str">
        <f t="shared" si="4"/>
        <v>T</v>
      </c>
      <c r="BJ6" s="27" t="str">
        <f t="shared" si="4"/>
        <v>F</v>
      </c>
      <c r="BK6" s="27" t="str">
        <f t="shared" si="4"/>
        <v>S</v>
      </c>
      <c r="BL6" s="28" t="str">
        <f t="shared" si="4"/>
        <v>S</v>
      </c>
    </row>
    <row r="7" spans="1:64" s="18" customFormat="1" ht="30" hidden="1" customHeight="1" thickBot="1" x14ac:dyDescent="0.25">
      <c r="A7" s="7" t="s">
        <v>12</v>
      </c>
      <c r="B7" s="29"/>
      <c r="C7" s="30"/>
      <c r="D7" s="29"/>
      <c r="E7" s="29"/>
      <c r="F7" s="29"/>
      <c r="H7" s="18"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3" customFormat="1" ht="33" customHeight="1" thickBot="1" x14ac:dyDescent="0.25">
      <c r="A8" s="8"/>
      <c r="B8" s="69" t="s">
        <v>13</v>
      </c>
      <c r="C8" s="70"/>
      <c r="D8" s="71"/>
      <c r="E8" s="72"/>
      <c r="F8" s="73"/>
      <c r="G8" s="11"/>
      <c r="H8" s="5" t="str">
        <f t="shared" ref="H8:H23" si="5">IF(OR(ISBLANK(task_start),ISBLANK(task_end)),"",task_end-task_start+1)</f>
        <v/>
      </c>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row>
    <row r="9" spans="1:64" s="33" customFormat="1" ht="33" customHeight="1" thickBot="1" x14ac:dyDescent="0.25">
      <c r="A9" s="8"/>
      <c r="B9" s="78" t="s">
        <v>14</v>
      </c>
      <c r="C9" s="86" t="s">
        <v>15</v>
      </c>
      <c r="D9" s="79">
        <v>1</v>
      </c>
      <c r="E9" s="80">
        <f>Project_Start</f>
        <v>45970</v>
      </c>
      <c r="F9" s="80">
        <v>45972</v>
      </c>
      <c r="G9" s="11"/>
      <c r="H9" s="5">
        <f t="shared" si="5"/>
        <v>3</v>
      </c>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row>
    <row r="10" spans="1:64" s="33" customFormat="1" ht="33" customHeight="1" thickBot="1" x14ac:dyDescent="0.25">
      <c r="A10" s="8"/>
      <c r="B10" s="81" t="s">
        <v>16</v>
      </c>
      <c r="C10" s="87" t="s">
        <v>17</v>
      </c>
      <c r="D10" s="82">
        <v>1</v>
      </c>
      <c r="E10" s="83">
        <v>45971</v>
      </c>
      <c r="F10" s="83">
        <f>E10+2</f>
        <v>45973</v>
      </c>
      <c r="G10" s="11"/>
      <c r="H10" s="5">
        <f t="shared" si="5"/>
        <v>3</v>
      </c>
      <c r="I10" s="34"/>
      <c r="J10" s="34"/>
      <c r="K10" s="34"/>
      <c r="L10" s="34"/>
      <c r="M10" s="34"/>
      <c r="N10" s="34"/>
      <c r="O10" s="34"/>
      <c r="P10" s="34"/>
      <c r="Q10" s="34"/>
      <c r="R10" s="34"/>
      <c r="S10" s="34"/>
      <c r="T10" s="34"/>
      <c r="U10" s="38"/>
      <c r="V10" s="38"/>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row>
    <row r="11" spans="1:64" s="33" customFormat="1" ht="33" customHeight="1" thickBot="1" x14ac:dyDescent="0.25">
      <c r="A11" s="8"/>
      <c r="B11" s="74" t="s">
        <v>18</v>
      </c>
      <c r="C11" s="88"/>
      <c r="D11" s="75"/>
      <c r="E11" s="76"/>
      <c r="F11" s="77"/>
      <c r="G11" s="11"/>
      <c r="H11" s="5" t="str">
        <f t="shared" si="5"/>
        <v/>
      </c>
    </row>
    <row r="12" spans="1:64" s="33" customFormat="1" ht="33" customHeight="1" thickBot="1" x14ac:dyDescent="0.25">
      <c r="A12" s="8"/>
      <c r="B12" s="35" t="s">
        <v>19</v>
      </c>
      <c r="C12" s="89" t="s">
        <v>15</v>
      </c>
      <c r="D12" s="36">
        <v>1</v>
      </c>
      <c r="E12" s="37">
        <v>45973</v>
      </c>
      <c r="F12" s="37">
        <v>45975</v>
      </c>
      <c r="G12" s="11"/>
      <c r="H12" s="5">
        <f t="shared" si="5"/>
        <v>3</v>
      </c>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row>
    <row r="13" spans="1:64" s="33" customFormat="1" ht="33" customHeight="1" thickBot="1" x14ac:dyDescent="0.25">
      <c r="A13" s="7"/>
      <c r="B13" s="35" t="s">
        <v>20</v>
      </c>
      <c r="C13" s="89" t="s">
        <v>17</v>
      </c>
      <c r="D13" s="36">
        <v>1</v>
      </c>
      <c r="E13" s="37">
        <v>45974</v>
      </c>
      <c r="F13" s="37">
        <v>45976</v>
      </c>
      <c r="G13" s="11"/>
      <c r="H13" s="5">
        <f t="shared" si="5"/>
        <v>3</v>
      </c>
      <c r="I13" s="34"/>
      <c r="J13" s="34"/>
      <c r="K13" s="34"/>
      <c r="L13" s="34"/>
      <c r="M13" s="34"/>
      <c r="N13" s="34"/>
      <c r="O13" s="34"/>
      <c r="P13" s="34"/>
      <c r="Q13" s="34"/>
      <c r="R13" s="34"/>
      <c r="S13" s="34"/>
      <c r="T13" s="34"/>
      <c r="U13" s="38"/>
      <c r="V13" s="38"/>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row>
    <row r="14" spans="1:64" s="33" customFormat="1" ht="33" customHeight="1" thickBot="1" x14ac:dyDescent="0.25">
      <c r="A14" s="7"/>
      <c r="B14" s="39" t="s">
        <v>21</v>
      </c>
      <c r="C14" s="90"/>
      <c r="D14" s="40"/>
      <c r="E14" s="41"/>
      <c r="F14" s="42"/>
      <c r="G14" s="11"/>
      <c r="H14" s="5" t="str">
        <f t="shared" si="5"/>
        <v/>
      </c>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row>
    <row r="15" spans="1:64" s="33" customFormat="1" ht="33" customHeight="1" thickBot="1" x14ac:dyDescent="0.25">
      <c r="A15" s="7"/>
      <c r="B15" s="44" t="s">
        <v>22</v>
      </c>
      <c r="C15" s="91" t="s">
        <v>17</v>
      </c>
      <c r="D15" s="45">
        <v>1</v>
      </c>
      <c r="E15" s="46">
        <v>45977</v>
      </c>
      <c r="F15" s="46">
        <v>45979</v>
      </c>
      <c r="G15" s="11"/>
      <c r="H15" s="5">
        <f t="shared" si="5"/>
        <v>3</v>
      </c>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row>
    <row r="16" spans="1:64" s="33" customFormat="1" ht="33" customHeight="1" thickBot="1" x14ac:dyDescent="0.25">
      <c r="A16" s="7"/>
      <c r="B16" s="44" t="s">
        <v>23</v>
      </c>
      <c r="C16" s="91" t="s">
        <v>15</v>
      </c>
      <c r="D16" s="45">
        <v>1</v>
      </c>
      <c r="E16" s="46">
        <v>45978</v>
      </c>
      <c r="F16" s="46">
        <v>45983</v>
      </c>
      <c r="G16" s="11"/>
      <c r="H16" s="5">
        <f t="shared" si="5"/>
        <v>6</v>
      </c>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row>
    <row r="17" spans="1:64" s="33" customFormat="1" ht="33" customHeight="1" thickBot="1" x14ac:dyDescent="0.25">
      <c r="A17" s="7"/>
      <c r="B17" s="44" t="s">
        <v>24</v>
      </c>
      <c r="C17" s="91" t="s">
        <v>25</v>
      </c>
      <c r="D17" s="45">
        <v>1</v>
      </c>
      <c r="E17" s="46">
        <v>45979</v>
      </c>
      <c r="F17" s="46">
        <v>45983</v>
      </c>
      <c r="G17" s="11"/>
      <c r="H17" s="5">
        <f t="shared" si="5"/>
        <v>5</v>
      </c>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row>
    <row r="18" spans="1:64" s="33" customFormat="1" ht="33" customHeight="1" thickBot="1" x14ac:dyDescent="0.25">
      <c r="A18" s="7"/>
      <c r="B18" s="44" t="s">
        <v>26</v>
      </c>
      <c r="C18" s="91" t="s">
        <v>25</v>
      </c>
      <c r="D18" s="45">
        <v>1</v>
      </c>
      <c r="E18" s="46">
        <v>45983</v>
      </c>
      <c r="F18" s="46">
        <v>45984</v>
      </c>
      <c r="G18" s="11"/>
      <c r="H18" s="5">
        <f t="shared" si="5"/>
        <v>2</v>
      </c>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row>
    <row r="19" spans="1:64" s="33" customFormat="1" ht="33" customHeight="1" thickBot="1" x14ac:dyDescent="0.25">
      <c r="A19" s="7"/>
      <c r="B19" s="47" t="s">
        <v>27</v>
      </c>
      <c r="C19" s="92"/>
      <c r="D19" s="48"/>
      <c r="E19" s="49"/>
      <c r="F19" s="50"/>
      <c r="G19" s="11"/>
      <c r="H19" s="5" t="str">
        <f t="shared" si="5"/>
        <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33" customFormat="1" ht="33" customHeight="1" thickBot="1" x14ac:dyDescent="0.25">
      <c r="A20" s="7"/>
      <c r="B20" s="52" t="s">
        <v>28</v>
      </c>
      <c r="C20" s="93" t="s">
        <v>15</v>
      </c>
      <c r="D20" s="53">
        <v>0.9</v>
      </c>
      <c r="E20" s="54">
        <v>45983</v>
      </c>
      <c r="F20" s="54">
        <v>45984</v>
      </c>
      <c r="G20" s="11"/>
      <c r="H20" s="5">
        <f t="shared" si="5"/>
        <v>2</v>
      </c>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row>
    <row r="21" spans="1:64" s="33" customFormat="1" ht="33" customHeight="1" thickBot="1" x14ac:dyDescent="0.25">
      <c r="A21" s="7"/>
      <c r="B21" s="52" t="s">
        <v>29</v>
      </c>
      <c r="C21" s="93" t="s">
        <v>15</v>
      </c>
      <c r="D21" s="53">
        <v>1</v>
      </c>
      <c r="E21" s="54">
        <f>F20</f>
        <v>45984</v>
      </c>
      <c r="F21" s="54">
        <v>45984</v>
      </c>
      <c r="G21" s="11"/>
      <c r="H21" s="5">
        <f t="shared" si="5"/>
        <v>1</v>
      </c>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row>
    <row r="22" spans="1:64" s="33" customFormat="1" ht="33" customHeight="1" thickBot="1" x14ac:dyDescent="0.25">
      <c r="A22" s="7"/>
      <c r="B22" s="55"/>
      <c r="C22" s="56"/>
      <c r="D22" s="57"/>
      <c r="E22" s="58"/>
      <c r="F22" s="58"/>
      <c r="G22" s="11"/>
      <c r="H22" s="5" t="str">
        <f t="shared" si="5"/>
        <v/>
      </c>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row>
    <row r="23" spans="1:64" s="33" customFormat="1" ht="30" customHeight="1" thickBot="1" x14ac:dyDescent="0.25">
      <c r="A23" s="8"/>
      <c r="B23" s="59" t="s">
        <v>30</v>
      </c>
      <c r="C23" s="60"/>
      <c r="D23" s="61"/>
      <c r="E23" s="62"/>
      <c r="F23" s="63"/>
      <c r="G23" s="11"/>
      <c r="H23" s="6" t="str">
        <f t="shared" si="5"/>
        <v/>
      </c>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64"/>
      <c r="AH23" s="64"/>
      <c r="AI23" s="64"/>
      <c r="AJ23" s="64"/>
      <c r="AK23" s="64"/>
      <c r="AL23" s="64"/>
      <c r="AM23" s="64"/>
      <c r="AN23" s="64"/>
      <c r="AO23" s="64"/>
      <c r="AP23" s="64"/>
      <c r="AQ23" s="64"/>
      <c r="AR23" s="64"/>
      <c r="AS23" s="64"/>
      <c r="AT23" s="64"/>
      <c r="AU23" s="64"/>
      <c r="AV23" s="64"/>
      <c r="AW23" s="64"/>
      <c r="AX23" s="64"/>
      <c r="AY23" s="64"/>
      <c r="AZ23" s="64"/>
      <c r="BA23" s="64"/>
      <c r="BB23" s="64"/>
      <c r="BC23" s="64"/>
      <c r="BD23" s="64"/>
      <c r="BE23" s="64"/>
      <c r="BF23" s="64"/>
      <c r="BG23" s="64"/>
      <c r="BH23" s="64"/>
      <c r="BI23" s="64"/>
      <c r="BJ23" s="64"/>
      <c r="BK23" s="64"/>
      <c r="BL23" s="64"/>
    </row>
    <row r="24" spans="1:64" ht="30" customHeight="1" x14ac:dyDescent="0.2">
      <c r="G24" s="3"/>
    </row>
    <row r="25" spans="1:64" ht="30" customHeight="1" x14ac:dyDescent="0.25">
      <c r="C25" s="10"/>
      <c r="F25" s="9"/>
    </row>
    <row r="26" spans="1:64" ht="30" customHeight="1" x14ac:dyDescent="0.2">
      <c r="C26"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2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1">
    <cfRule type="expression" dxfId="8" priority="1">
      <formula>AND(TODAY()&gt;=I$5, TODAY()&lt;J$5)</formula>
    </cfRule>
  </conditionalFormatting>
  <conditionalFormatting sqref="I9:BL10">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2:BL13">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5:BL18">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0:BL2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1" xr:uid="{4F48FC41-E335-47F1-87AA-3333A52AD81C}"/>
    <dataValidation allowBlank="1" showInputMessage="1" showErrorMessage="1" prompt="Phase 3's sample block starts in cell B20." sqref="A14" xr:uid="{956902D1-D3B5-416D-BB69-9362D193BC0A}"/>
    <dataValidation allowBlank="1" showInputMessage="1" showErrorMessage="1" prompt="Phase 4's sample block starts in cell B26." sqref="A19"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23"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0C622-D38B-401E-AC2A-87098BE949BB}">
  <dimension ref="A1:F12"/>
  <sheetViews>
    <sheetView workbookViewId="0">
      <pane ySplit="2" topLeftCell="A3" activePane="bottomLeft" state="frozen"/>
      <selection pane="bottomLeft" activeCell="C21" sqref="C21"/>
    </sheetView>
  </sheetViews>
  <sheetFormatPr defaultColWidth="8.875" defaultRowHeight="14.25" x14ac:dyDescent="0.2"/>
  <cols>
    <col min="1" max="1" width="19" customWidth="1"/>
    <col min="2" max="2" width="28.375" customWidth="1"/>
    <col min="3" max="3" width="89.875" customWidth="1"/>
    <col min="4" max="4" width="14.625" customWidth="1"/>
    <col min="5" max="5" width="13.875" customWidth="1"/>
    <col min="6" max="6" width="11.5" customWidth="1"/>
  </cols>
  <sheetData>
    <row r="1" spans="1:6" ht="72" customHeight="1" x14ac:dyDescent="0.2">
      <c r="A1" s="97"/>
      <c r="B1" s="113"/>
      <c r="C1" s="113"/>
      <c r="D1" s="113"/>
      <c r="E1" s="113"/>
      <c r="F1" s="113"/>
    </row>
    <row r="2" spans="1:6" x14ac:dyDescent="0.2">
      <c r="A2" t="s">
        <v>31</v>
      </c>
      <c r="B2" t="s">
        <v>32</v>
      </c>
      <c r="C2" t="s">
        <v>33</v>
      </c>
      <c r="D2" t="s">
        <v>34</v>
      </c>
      <c r="E2" t="s">
        <v>35</v>
      </c>
      <c r="F2" t="s">
        <v>36</v>
      </c>
    </row>
    <row r="3" spans="1:6" x14ac:dyDescent="0.2">
      <c r="A3" t="s">
        <v>37</v>
      </c>
      <c r="B3" t="s">
        <v>38</v>
      </c>
      <c r="C3" t="s">
        <v>39</v>
      </c>
      <c r="D3" t="s">
        <v>15</v>
      </c>
      <c r="E3" t="s">
        <v>40</v>
      </c>
      <c r="F3" t="s">
        <v>40</v>
      </c>
    </row>
    <row r="4" spans="1:6" x14ac:dyDescent="0.2">
      <c r="A4" t="s">
        <v>13</v>
      </c>
      <c r="B4" t="s">
        <v>41</v>
      </c>
      <c r="C4" t="s">
        <v>42</v>
      </c>
      <c r="D4" t="s">
        <v>17</v>
      </c>
      <c r="E4" t="s">
        <v>43</v>
      </c>
    </row>
    <row r="5" spans="1:6" x14ac:dyDescent="0.2">
      <c r="A5" t="s">
        <v>44</v>
      </c>
      <c r="B5" t="s">
        <v>45</v>
      </c>
      <c r="C5" t="s">
        <v>46</v>
      </c>
      <c r="D5" t="s">
        <v>17</v>
      </c>
      <c r="E5" t="s">
        <v>40</v>
      </c>
      <c r="F5" t="s">
        <v>40</v>
      </c>
    </row>
    <row r="6" spans="1:6" x14ac:dyDescent="0.2">
      <c r="A6" t="s">
        <v>44</v>
      </c>
      <c r="B6" t="s">
        <v>47</v>
      </c>
      <c r="C6" t="s">
        <v>48</v>
      </c>
      <c r="D6" t="s">
        <v>15</v>
      </c>
      <c r="E6" t="s">
        <v>43</v>
      </c>
      <c r="F6" t="s">
        <v>49</v>
      </c>
    </row>
    <row r="7" spans="1:6" x14ac:dyDescent="0.2">
      <c r="A7" t="s">
        <v>21</v>
      </c>
      <c r="B7" t="s">
        <v>50</v>
      </c>
      <c r="C7" t="s">
        <v>51</v>
      </c>
      <c r="D7" t="s">
        <v>17</v>
      </c>
      <c r="E7" t="s">
        <v>43</v>
      </c>
      <c r="F7" t="s">
        <v>40</v>
      </c>
    </row>
    <row r="8" spans="1:6" x14ac:dyDescent="0.2">
      <c r="A8" t="s">
        <v>21</v>
      </c>
      <c r="B8" t="s">
        <v>52</v>
      </c>
      <c r="C8" t="s">
        <v>53</v>
      </c>
      <c r="D8" t="s">
        <v>25</v>
      </c>
      <c r="E8" t="s">
        <v>49</v>
      </c>
      <c r="F8" t="s">
        <v>54</v>
      </c>
    </row>
    <row r="9" spans="1:6" x14ac:dyDescent="0.2">
      <c r="A9" t="s">
        <v>21</v>
      </c>
      <c r="B9" t="s">
        <v>55</v>
      </c>
      <c r="C9" t="s">
        <v>56</v>
      </c>
      <c r="D9" t="s">
        <v>25</v>
      </c>
      <c r="E9" t="s">
        <v>40</v>
      </c>
      <c r="F9" t="s">
        <v>40</v>
      </c>
    </row>
    <row r="10" spans="1:6" x14ac:dyDescent="0.2">
      <c r="A10" t="s">
        <v>21</v>
      </c>
      <c r="B10" t="s">
        <v>57</v>
      </c>
      <c r="C10" t="s">
        <v>58</v>
      </c>
      <c r="D10" t="s">
        <v>25</v>
      </c>
      <c r="E10" t="s">
        <v>40</v>
      </c>
      <c r="F10" t="s">
        <v>40</v>
      </c>
    </row>
    <row r="11" spans="1:6" x14ac:dyDescent="0.2">
      <c r="A11" t="s">
        <v>59</v>
      </c>
      <c r="B11" t="s">
        <v>60</v>
      </c>
      <c r="C11" t="s">
        <v>61</v>
      </c>
      <c r="D11" t="s">
        <v>15</v>
      </c>
      <c r="E11" t="s">
        <v>43</v>
      </c>
      <c r="F11" t="s">
        <v>43</v>
      </c>
    </row>
    <row r="12" spans="1:6" x14ac:dyDescent="0.2">
      <c r="A12" t="s">
        <v>59</v>
      </c>
      <c r="B12" t="s">
        <v>62</v>
      </c>
      <c r="C12" t="s">
        <v>63</v>
      </c>
      <c r="D12" t="s">
        <v>15</v>
      </c>
      <c r="E12" t="s">
        <v>43</v>
      </c>
      <c r="F12" t="s">
        <v>43</v>
      </c>
    </row>
  </sheetData>
  <mergeCells count="1">
    <mergeCell ref="A1:F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9EB89-F5F8-459A-92B2-7B9BDA5ED096}">
  <dimension ref="A1:D12"/>
  <sheetViews>
    <sheetView workbookViewId="0">
      <selection activeCell="C22" sqref="C21:C22"/>
    </sheetView>
  </sheetViews>
  <sheetFormatPr defaultColWidth="8.875" defaultRowHeight="14.25" x14ac:dyDescent="0.2"/>
  <cols>
    <col min="1" max="1" width="37.625" customWidth="1"/>
    <col min="2" max="2" width="15.625" customWidth="1"/>
    <col min="3" max="3" width="93.875" customWidth="1"/>
    <col min="4" max="4" width="76.375" customWidth="1"/>
  </cols>
  <sheetData>
    <row r="1" spans="1:4" x14ac:dyDescent="0.2">
      <c r="A1" t="s">
        <v>64</v>
      </c>
      <c r="B1" t="s">
        <v>65</v>
      </c>
      <c r="C1" t="s">
        <v>66</v>
      </c>
      <c r="D1" t="s">
        <v>67</v>
      </c>
    </row>
    <row r="2" spans="1:4" x14ac:dyDescent="0.2">
      <c r="A2" t="s">
        <v>68</v>
      </c>
      <c r="B2" t="s">
        <v>69</v>
      </c>
      <c r="C2" t="s">
        <v>70</v>
      </c>
      <c r="D2" t="s">
        <v>71</v>
      </c>
    </row>
    <row r="3" spans="1:4" x14ac:dyDescent="0.2">
      <c r="A3" t="s">
        <v>72</v>
      </c>
      <c r="B3" t="s">
        <v>73</v>
      </c>
      <c r="C3" t="s">
        <v>74</v>
      </c>
      <c r="D3" t="s">
        <v>75</v>
      </c>
    </row>
    <row r="4" spans="1:4" x14ac:dyDescent="0.2">
      <c r="A4" s="85" t="s">
        <v>76</v>
      </c>
      <c r="B4" t="s">
        <v>77</v>
      </c>
      <c r="C4" t="s">
        <v>78</v>
      </c>
      <c r="D4" t="s">
        <v>79</v>
      </c>
    </row>
    <row r="5" spans="1:4" x14ac:dyDescent="0.2">
      <c r="A5" t="s">
        <v>80</v>
      </c>
      <c r="B5" t="s">
        <v>77</v>
      </c>
      <c r="C5" t="s">
        <v>81</v>
      </c>
      <c r="D5" t="s">
        <v>82</v>
      </c>
    </row>
    <row r="6" spans="1:4" x14ac:dyDescent="0.2">
      <c r="A6" t="s">
        <v>83</v>
      </c>
      <c r="B6" t="s">
        <v>69</v>
      </c>
      <c r="C6" t="s">
        <v>84</v>
      </c>
      <c r="D6" t="s">
        <v>85</v>
      </c>
    </row>
    <row r="7" spans="1:4" x14ac:dyDescent="0.2">
      <c r="A7" t="s">
        <v>86</v>
      </c>
      <c r="B7" t="s">
        <v>73</v>
      </c>
      <c r="C7" t="s">
        <v>87</v>
      </c>
      <c r="D7" t="s">
        <v>88</v>
      </c>
    </row>
    <row r="8" spans="1:4" x14ac:dyDescent="0.2">
      <c r="A8" t="s">
        <v>89</v>
      </c>
      <c r="B8" t="s">
        <v>73</v>
      </c>
      <c r="C8" t="s">
        <v>90</v>
      </c>
      <c r="D8" t="s">
        <v>91</v>
      </c>
    </row>
    <row r="9" spans="1:4" x14ac:dyDescent="0.2">
      <c r="A9" t="s">
        <v>92</v>
      </c>
      <c r="B9" t="s">
        <v>73</v>
      </c>
      <c r="C9" t="s">
        <v>93</v>
      </c>
      <c r="D9" t="s">
        <v>94</v>
      </c>
    </row>
    <row r="10" spans="1:4" x14ac:dyDescent="0.2">
      <c r="A10" t="s">
        <v>95</v>
      </c>
      <c r="B10" t="s">
        <v>96</v>
      </c>
      <c r="C10" t="s">
        <v>97</v>
      </c>
      <c r="D10" t="s">
        <v>98</v>
      </c>
    </row>
    <row r="11" spans="1:4" x14ac:dyDescent="0.2">
      <c r="A11" t="s">
        <v>99</v>
      </c>
      <c r="B11" t="s">
        <v>27</v>
      </c>
      <c r="C11" t="s">
        <v>100</v>
      </c>
      <c r="D11" t="s">
        <v>101</v>
      </c>
    </row>
    <row r="12" spans="1:4" x14ac:dyDescent="0.2">
      <c r="A12" t="s">
        <v>102</v>
      </c>
      <c r="B12" t="s">
        <v>103</v>
      </c>
      <c r="C12" t="s">
        <v>104</v>
      </c>
      <c r="D12" t="s">
        <v>105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9B2EE-F4C4-454C-8B26-390D07F6251A}">
  <dimension ref="A1:D36"/>
  <sheetViews>
    <sheetView workbookViewId="0">
      <selection activeCell="A18" sqref="A18"/>
    </sheetView>
  </sheetViews>
  <sheetFormatPr defaultColWidth="8.875" defaultRowHeight="14.25" x14ac:dyDescent="0.2"/>
  <cols>
    <col min="1" max="1" width="11.875" customWidth="1"/>
    <col min="2" max="2" width="76.875" customWidth="1"/>
    <col min="3" max="3" width="66.5" customWidth="1"/>
    <col min="4" max="4" width="18.875" bestFit="1" customWidth="1"/>
  </cols>
  <sheetData>
    <row r="1" spans="1:4" x14ac:dyDescent="0.2">
      <c r="A1" t="s">
        <v>106</v>
      </c>
      <c r="B1" t="s">
        <v>107</v>
      </c>
      <c r="C1" t="s">
        <v>108</v>
      </c>
      <c r="D1" t="s">
        <v>109</v>
      </c>
    </row>
    <row r="2" spans="1:4" x14ac:dyDescent="0.2">
      <c r="A2" s="84">
        <v>45970</v>
      </c>
      <c r="B2" t="s">
        <v>110</v>
      </c>
      <c r="C2" t="s">
        <v>111</v>
      </c>
      <c r="D2" t="s">
        <v>112</v>
      </c>
    </row>
    <row r="3" spans="1:4" x14ac:dyDescent="0.2">
      <c r="A3" s="84">
        <v>45971</v>
      </c>
      <c r="B3" t="s">
        <v>113</v>
      </c>
      <c r="C3" t="s">
        <v>114</v>
      </c>
      <c r="D3" t="s">
        <v>112</v>
      </c>
    </row>
    <row r="4" spans="1:4" x14ac:dyDescent="0.2">
      <c r="A4" s="84">
        <v>45972</v>
      </c>
      <c r="B4" t="s">
        <v>115</v>
      </c>
      <c r="C4" t="s">
        <v>116</v>
      </c>
      <c r="D4" t="s">
        <v>112</v>
      </c>
    </row>
    <row r="5" spans="1:4" x14ac:dyDescent="0.2">
      <c r="A5" s="84">
        <v>45973</v>
      </c>
      <c r="B5" t="s">
        <v>117</v>
      </c>
      <c r="C5" t="s">
        <v>118</v>
      </c>
      <c r="D5" t="s">
        <v>112</v>
      </c>
    </row>
    <row r="6" spans="1:4" x14ac:dyDescent="0.2">
      <c r="A6" s="84">
        <v>45974</v>
      </c>
      <c r="B6" t="s">
        <v>119</v>
      </c>
      <c r="C6" t="s">
        <v>120</v>
      </c>
      <c r="D6" t="s">
        <v>112</v>
      </c>
    </row>
    <row r="7" spans="1:4" x14ac:dyDescent="0.2">
      <c r="A7" s="84">
        <v>45975</v>
      </c>
      <c r="B7" t="s">
        <v>121</v>
      </c>
      <c r="C7" t="s">
        <v>122</v>
      </c>
      <c r="D7" t="s">
        <v>112</v>
      </c>
    </row>
    <row r="8" spans="1:4" x14ac:dyDescent="0.2">
      <c r="A8" s="84">
        <v>45976</v>
      </c>
      <c r="B8" t="s">
        <v>123</v>
      </c>
      <c r="C8" t="s">
        <v>124</v>
      </c>
      <c r="D8" t="s">
        <v>112</v>
      </c>
    </row>
    <row r="9" spans="1:4" x14ac:dyDescent="0.2">
      <c r="A9" s="84">
        <v>45977</v>
      </c>
      <c r="B9" t="s">
        <v>125</v>
      </c>
      <c r="C9" t="s">
        <v>126</v>
      </c>
      <c r="D9" t="s">
        <v>112</v>
      </c>
    </row>
    <row r="10" spans="1:4" x14ac:dyDescent="0.2">
      <c r="A10" s="84">
        <v>45978</v>
      </c>
      <c r="B10" t="s">
        <v>127</v>
      </c>
      <c r="C10" t="s">
        <v>128</v>
      </c>
      <c r="D10" t="s">
        <v>129</v>
      </c>
    </row>
    <row r="11" spans="1:4" x14ac:dyDescent="0.2">
      <c r="A11" s="84">
        <v>45979</v>
      </c>
      <c r="B11" t="s">
        <v>130</v>
      </c>
      <c r="C11" t="s">
        <v>130</v>
      </c>
      <c r="D11" t="s">
        <v>129</v>
      </c>
    </row>
    <row r="12" spans="1:4" x14ac:dyDescent="0.2">
      <c r="A12" s="84">
        <v>45979</v>
      </c>
      <c r="B12" t="s">
        <v>130</v>
      </c>
      <c r="C12" t="s">
        <v>130</v>
      </c>
      <c r="D12" t="s">
        <v>112</v>
      </c>
    </row>
    <row r="13" spans="1:4" x14ac:dyDescent="0.2">
      <c r="A13" s="95" t="s">
        <v>131</v>
      </c>
      <c r="B13" t="s">
        <v>130</v>
      </c>
      <c r="C13" t="s">
        <v>132</v>
      </c>
      <c r="D13" t="s">
        <v>129</v>
      </c>
    </row>
    <row r="14" spans="1:4" x14ac:dyDescent="0.2">
      <c r="A14" s="95" t="s">
        <v>133</v>
      </c>
      <c r="B14" t="s">
        <v>132</v>
      </c>
      <c r="C14" t="s">
        <v>132</v>
      </c>
      <c r="D14" t="s">
        <v>112</v>
      </c>
    </row>
    <row r="15" spans="1:4" x14ac:dyDescent="0.2">
      <c r="A15" s="84">
        <v>45982</v>
      </c>
      <c r="B15" t="s">
        <v>132</v>
      </c>
      <c r="C15" t="s">
        <v>134</v>
      </c>
      <c r="D15" t="s">
        <v>112</v>
      </c>
    </row>
    <row r="16" spans="1:4" x14ac:dyDescent="0.2">
      <c r="A16" s="84">
        <v>45982</v>
      </c>
      <c r="B16" t="s">
        <v>132</v>
      </c>
      <c r="C16" t="s">
        <v>135</v>
      </c>
      <c r="D16" t="s">
        <v>112</v>
      </c>
    </row>
    <row r="17" spans="1:4" x14ac:dyDescent="0.2">
      <c r="A17" s="84">
        <v>45983</v>
      </c>
      <c r="B17" t="s">
        <v>136</v>
      </c>
      <c r="C17" t="s">
        <v>137</v>
      </c>
      <c r="D17" t="s">
        <v>112</v>
      </c>
    </row>
    <row r="18" spans="1:4" x14ac:dyDescent="0.2">
      <c r="A18" s="84"/>
    </row>
    <row r="19" spans="1:4" x14ac:dyDescent="0.2">
      <c r="A19" s="84"/>
    </row>
    <row r="20" spans="1:4" x14ac:dyDescent="0.2">
      <c r="A20" s="84"/>
    </row>
    <row r="21" spans="1:4" x14ac:dyDescent="0.2">
      <c r="A21" s="84"/>
    </row>
    <row r="22" spans="1:4" x14ac:dyDescent="0.2">
      <c r="A22" s="84"/>
    </row>
    <row r="23" spans="1:4" x14ac:dyDescent="0.2">
      <c r="A23" s="84"/>
    </row>
    <row r="24" spans="1:4" x14ac:dyDescent="0.2">
      <c r="A24" s="84"/>
    </row>
    <row r="25" spans="1:4" x14ac:dyDescent="0.2">
      <c r="A25" s="84"/>
    </row>
    <row r="26" spans="1:4" x14ac:dyDescent="0.2">
      <c r="A26" s="84"/>
    </row>
    <row r="27" spans="1:4" x14ac:dyDescent="0.2">
      <c r="A27" s="84"/>
    </row>
    <row r="28" spans="1:4" x14ac:dyDescent="0.2">
      <c r="A28" s="84"/>
    </row>
    <row r="29" spans="1:4" x14ac:dyDescent="0.2">
      <c r="A29" s="84"/>
    </row>
    <row r="30" spans="1:4" x14ac:dyDescent="0.2">
      <c r="A30" s="84"/>
    </row>
    <row r="31" spans="1:4" x14ac:dyDescent="0.2">
      <c r="A31" s="84"/>
    </row>
    <row r="32" spans="1:4" x14ac:dyDescent="0.2">
      <c r="A32" s="84"/>
    </row>
    <row r="33" spans="1:1" x14ac:dyDescent="0.2">
      <c r="A33" s="84"/>
    </row>
    <row r="34" spans="1:1" x14ac:dyDescent="0.2">
      <c r="A34" s="84"/>
    </row>
    <row r="35" spans="1:1" x14ac:dyDescent="0.2">
      <c r="A35" s="84"/>
    </row>
    <row r="36" spans="1:1" x14ac:dyDescent="0.2">
      <c r="A36" s="84"/>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EFFC9-C810-40F8-9CE2-168FD259F756}">
  <dimension ref="A1:D10"/>
  <sheetViews>
    <sheetView zoomScale="110" zoomScaleNormal="110" workbookViewId="0">
      <selection activeCell="C8" sqref="C8"/>
    </sheetView>
  </sheetViews>
  <sheetFormatPr defaultColWidth="8.875" defaultRowHeight="14.25" x14ac:dyDescent="0.2"/>
  <cols>
    <col min="1" max="1" width="19.625" customWidth="1"/>
    <col min="2" max="2" width="25" customWidth="1"/>
    <col min="3" max="3" width="30.5" customWidth="1"/>
    <col min="4" max="4" width="55.375" customWidth="1"/>
  </cols>
  <sheetData>
    <row r="1" spans="1:4" x14ac:dyDescent="0.2">
      <c r="A1" t="s">
        <v>138</v>
      </c>
      <c r="B1" t="s">
        <v>139</v>
      </c>
      <c r="C1" t="s">
        <v>140</v>
      </c>
      <c r="D1" t="s">
        <v>141</v>
      </c>
    </row>
    <row r="2" spans="1:4" ht="57" x14ac:dyDescent="0.2">
      <c r="A2" s="96" t="s">
        <v>142</v>
      </c>
      <c r="B2" s="96" t="s">
        <v>143</v>
      </c>
      <c r="C2" s="96" t="s">
        <v>144</v>
      </c>
      <c r="D2" s="96" t="s">
        <v>145</v>
      </c>
    </row>
    <row r="3" spans="1:4" ht="85.5" x14ac:dyDescent="0.2">
      <c r="A3" s="96" t="s">
        <v>146</v>
      </c>
      <c r="B3" s="96" t="s">
        <v>147</v>
      </c>
      <c r="C3" s="96" t="s">
        <v>148</v>
      </c>
      <c r="D3" s="96" t="s">
        <v>149</v>
      </c>
    </row>
    <row r="4" spans="1:4" ht="85.5" x14ac:dyDescent="0.2">
      <c r="A4" s="96" t="s">
        <v>150</v>
      </c>
      <c r="B4" s="96" t="s">
        <v>151</v>
      </c>
      <c r="C4" s="96" t="s">
        <v>152</v>
      </c>
      <c r="D4" s="96" t="s">
        <v>153</v>
      </c>
    </row>
    <row r="5" spans="1:4" ht="114" x14ac:dyDescent="0.2">
      <c r="A5" s="96" t="s">
        <v>154</v>
      </c>
      <c r="B5" s="96" t="s">
        <v>155</v>
      </c>
      <c r="C5" s="96" t="s">
        <v>156</v>
      </c>
      <c r="D5" s="96" t="s">
        <v>157</v>
      </c>
    </row>
    <row r="6" spans="1:4" ht="85.5" x14ac:dyDescent="0.2">
      <c r="A6" s="96" t="s">
        <v>158</v>
      </c>
      <c r="B6" s="96" t="s">
        <v>159</v>
      </c>
      <c r="C6" s="96" t="s">
        <v>160</v>
      </c>
      <c r="D6" s="96" t="s">
        <v>161</v>
      </c>
    </row>
    <row r="7" spans="1:4" ht="85.5" x14ac:dyDescent="0.2">
      <c r="A7" s="96" t="s">
        <v>162</v>
      </c>
      <c r="B7" s="96" t="s">
        <v>163</v>
      </c>
      <c r="C7" s="96" t="s">
        <v>164</v>
      </c>
      <c r="D7" s="96" t="s">
        <v>165</v>
      </c>
    </row>
    <row r="8" spans="1:4" ht="85.5" x14ac:dyDescent="0.2">
      <c r="A8" s="96" t="s">
        <v>166</v>
      </c>
      <c r="B8" s="96" t="s">
        <v>167</v>
      </c>
      <c r="C8" s="96" t="s">
        <v>168</v>
      </c>
      <c r="D8" s="96" t="s">
        <v>169</v>
      </c>
    </row>
    <row r="10" spans="1:4" x14ac:dyDescent="0.2"/>
  </sheetData>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ediaServiceKeyPoints xmlns="514cd7b4-04c0-48f2-a1f3-d5d996e56569" xsi:nil="true"/>
    <_activity xmlns="514cd7b4-04c0-48f2-a1f3-d5d996e5656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BC99B4638ABDB409AD6CDDE69E18858" ma:contentTypeVersion="15" ma:contentTypeDescription="Create a new document." ma:contentTypeScope="" ma:versionID="5f2fe00c45ecd0d7045d4bc958a23ad2">
  <xsd:schema xmlns:xsd="http://www.w3.org/2001/XMLSchema" xmlns:xs="http://www.w3.org/2001/XMLSchema" xmlns:p="http://schemas.microsoft.com/office/2006/metadata/properties" xmlns:ns3="fc1f21fc-e16b-43fc-8fba-8a11d39aed12" xmlns:ns4="514cd7b4-04c0-48f2-a1f3-d5d996e56569" targetNamespace="http://schemas.microsoft.com/office/2006/metadata/properties" ma:root="true" ma:fieldsID="7802da12db96edb742b0dfba634125d9" ns3:_="" ns4:_="">
    <xsd:import namespace="fc1f21fc-e16b-43fc-8fba-8a11d39aed12"/>
    <xsd:import namespace="514cd7b4-04c0-48f2-a1f3-d5d996e5656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_activity" minOccurs="0"/>
                <xsd:element ref="ns4:MediaServiceObjectDetectorVersions" minOccurs="0"/>
                <xsd:element ref="ns4:MediaServiceAutoTags" minOccurs="0"/>
                <xsd:element ref="ns4:MediaServiceOCR" minOccurs="0"/>
                <xsd:element ref="ns4:MediaServiceGenerationTime" minOccurs="0"/>
                <xsd:element ref="ns4:MediaServiceEventHashCode" minOccurs="0"/>
                <xsd:element ref="ns4:MediaServiceSearchProperties" minOccurs="0"/>
                <xsd:element ref="ns4: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1f21fc-e16b-43fc-8fba-8a11d39aed1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4cd7b4-04c0-48f2-a1f3-d5d996e5656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_activity" ma:index="15" nillable="true" ma:displayName="_activity" ma:hidden="true" ma:internalName="_activity">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AutoTags" ma:index="17" nillable="true" ma:displayName="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514cd7b4-04c0-48f2-a1f3-d5d996e56569"/>
    <ds:schemaRef ds:uri="http://schemas.microsoft.com/office/2006/documentManagement/types"/>
    <ds:schemaRef ds:uri="http://purl.org/dc/terms/"/>
    <ds:schemaRef ds:uri="http://www.w3.org/XML/1998/namespace"/>
    <ds:schemaRef ds:uri="fc1f21fc-e16b-43fc-8fba-8a11d39aed12"/>
    <ds:schemaRef ds:uri="http://schemas.microsoft.com/office/infopath/2007/PartnerControls"/>
    <ds:schemaRef ds:uri="http://purl.org/dc/dcmitype/"/>
    <ds:schemaRef ds:uri="http://schemas.openxmlformats.org/package/2006/metadata/core-properties"/>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7F9034B3-C7AD-494F-9C8D-129A6D4364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1f21fc-e16b-43fc-8fba-8a11d39aed12"/>
    <ds:schemaRef ds:uri="514cd7b4-04c0-48f2-a1f3-d5d996e565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GANTT Template</vt:lpstr>
      <vt:lpstr>TASK BREAKDOWN Template</vt:lpstr>
      <vt:lpstr>EVENT LOG Template</vt:lpstr>
      <vt:lpstr>DAILY STANDUPS Template</vt:lpstr>
      <vt:lpstr>LESSONS LEARNED Template</vt:lpstr>
      <vt:lpstr>Display_Week</vt:lpstr>
      <vt:lpstr>'GANTT Template'!Print_Titles</vt:lpstr>
      <vt:lpstr>Project_Start</vt:lpstr>
      <vt:lpstr>'GANTT Template'!task_end</vt:lpstr>
      <vt:lpstr>'GANTT Template'!task_progress</vt:lpstr>
      <vt:lpstr>'GANTT Template'!task_start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Rameez Ashraf</dc:creator>
  <cp:keywords/>
  <dc:description/>
  <cp:lastModifiedBy>Bradley Tennant</cp:lastModifiedBy>
  <cp:revision/>
  <dcterms:created xsi:type="dcterms:W3CDTF">2022-03-11T22:41:12Z</dcterms:created>
  <dcterms:modified xsi:type="dcterms:W3CDTF">2025-11-30T04:07:41Z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0x0101009BC99B4638ABDB409AD6CDDE69E18858</vt:lpwstr>
  </property>
  <property fmtid="{D5CDD505-2E9C-101B-9397-08002B2CF9AE}" pid="3" name="MediaServiceImageTags">
    <vt:lpwstr/>
  </property>
</Properties>
</file>